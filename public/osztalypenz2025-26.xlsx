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Munk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9" i="1"/>
  <c r="D39"/>
  <c r="E39"/>
  <c r="F39"/>
  <c r="G39"/>
  <c r="H39"/>
  <c r="I39"/>
  <c r="J39"/>
  <c r="K39"/>
  <c r="L39"/>
  <c r="M39"/>
  <c r="N39"/>
  <c r="O39"/>
  <c r="C39"/>
  <c r="D45"/>
  <c r="E45"/>
  <c r="F45"/>
  <c r="G45"/>
  <c r="H45"/>
  <c r="I45"/>
  <c r="J45"/>
  <c r="K45"/>
  <c r="L45"/>
  <c r="M45"/>
  <c r="N45"/>
  <c r="O45"/>
  <c r="C45"/>
  <c r="P43"/>
  <c r="P44"/>
  <c r="P42"/>
  <c r="P3"/>
  <c r="Q3" s="1"/>
  <c r="P4"/>
  <c r="Q4" s="1"/>
  <c r="P5"/>
  <c r="Q5" s="1"/>
  <c r="P6"/>
  <c r="Q6" s="1"/>
  <c r="P7"/>
  <c r="Q7" s="1"/>
  <c r="P8"/>
  <c r="Q8" s="1"/>
  <c r="P9"/>
  <c r="Q9" s="1"/>
  <c r="P10"/>
  <c r="Q10" s="1"/>
  <c r="P11"/>
  <c r="Q11" s="1"/>
  <c r="P12"/>
  <c r="Q12" s="1"/>
  <c r="P13"/>
  <c r="Q13" s="1"/>
  <c r="P14"/>
  <c r="Q14" s="1"/>
  <c r="P15"/>
  <c r="Q15" s="1"/>
  <c r="P16"/>
  <c r="Q16" s="1"/>
  <c r="P17"/>
  <c r="Q17" s="1"/>
  <c r="P18"/>
  <c r="Q18" s="1"/>
  <c r="P19"/>
  <c r="Q19" s="1"/>
  <c r="P20"/>
  <c r="Q20" s="1"/>
  <c r="P21"/>
  <c r="Q21" s="1"/>
  <c r="P22"/>
  <c r="Q22" s="1"/>
  <c r="P23"/>
  <c r="Q23" s="1"/>
  <c r="P24"/>
  <c r="Q24" s="1"/>
  <c r="P25"/>
  <c r="Q25" s="1"/>
  <c r="P26"/>
  <c r="Q26" s="1"/>
  <c r="P27"/>
  <c r="Q27" s="1"/>
  <c r="P28"/>
  <c r="Q28" s="1"/>
  <c r="P29"/>
  <c r="Q29" s="1"/>
  <c r="P30"/>
  <c r="Q30" s="1"/>
  <c r="P31"/>
  <c r="Q31" s="1"/>
  <c r="P32"/>
  <c r="Q32" s="1"/>
  <c r="P33"/>
  <c r="Q33" s="1"/>
  <c r="P34"/>
  <c r="Q34" s="1"/>
  <c r="P35"/>
  <c r="Q35" s="1"/>
  <c r="P36"/>
  <c r="Q36" s="1"/>
  <c r="P37"/>
  <c r="Q37" s="1"/>
  <c r="P38"/>
  <c r="Q38" s="1"/>
  <c r="P2"/>
  <c r="Q2" s="1"/>
  <c r="P45" l="1"/>
  <c r="Q39"/>
  <c r="P39"/>
</calcChain>
</file>

<file path=xl/sharedStrings.xml><?xml version="1.0" encoding="utf-8"?>
<sst xmlns="http://schemas.openxmlformats.org/spreadsheetml/2006/main" count="84" uniqueCount="69">
  <si>
    <t>Czirják Róbert Krisztián</t>
  </si>
  <si>
    <t>Cseke Péter Ernő</t>
  </si>
  <si>
    <t>Csobán Gábor</t>
  </si>
  <si>
    <t>Csőri Márk</t>
  </si>
  <si>
    <t>Dudics Dominik</t>
  </si>
  <si>
    <t>Erlich Benedek Zsolt</t>
  </si>
  <si>
    <t>Gonda Olivér</t>
  </si>
  <si>
    <t>Kádár Bálint Miklós</t>
  </si>
  <si>
    <t>Kardos Bence Koppány</t>
  </si>
  <si>
    <t>Márkus Péter</t>
  </si>
  <si>
    <t>Mizsák Dávid</t>
  </si>
  <si>
    <t>Molnár Benedek</t>
  </si>
  <si>
    <t>Papp Bence József</t>
  </si>
  <si>
    <t>Papp Hunor Attila</t>
  </si>
  <si>
    <t>Rékási László</t>
  </si>
  <si>
    <t>Varga Márton Balázs</t>
  </si>
  <si>
    <t>Vincze Ádám</t>
  </si>
  <si>
    <t>Virág Péter Szabolcs</t>
  </si>
  <si>
    <t>Ágoston Alex</t>
  </si>
  <si>
    <t>Bartha Levente</t>
  </si>
  <si>
    <t>Csobai Péter</t>
  </si>
  <si>
    <t>Gelsi Dávid</t>
  </si>
  <si>
    <t>Gubacsi Dominik</t>
  </si>
  <si>
    <t>Hudák Levente</t>
  </si>
  <si>
    <t>Kocsis Ferenc</t>
  </si>
  <si>
    <t>Szilágyi Viktor</t>
  </si>
  <si>
    <t>Szondi Levente</t>
  </si>
  <si>
    <t>Tábori László János</t>
  </si>
  <si>
    <t>Angel Zsombor</t>
  </si>
  <si>
    <t>Balázs Bence</t>
  </si>
  <si>
    <t>Hajzer Balázs</t>
  </si>
  <si>
    <t>Mészáros Szabolcs</t>
  </si>
  <si>
    <t>Nyíri Ábel</t>
  </si>
  <si>
    <t>Pfeffer Balázs</t>
  </si>
  <si>
    <t>Szép Levente</t>
  </si>
  <si>
    <t>Szücs Gábor</t>
  </si>
  <si>
    <t>Összes befizetés</t>
  </si>
  <si>
    <t>Tartozás tanévben</t>
  </si>
  <si>
    <t>Befizetés</t>
  </si>
  <si>
    <t>Összesen</t>
  </si>
  <si>
    <t>Névnapok</t>
  </si>
  <si>
    <t>Kiadás</t>
  </si>
  <si>
    <t>Összes kiadás</t>
  </si>
  <si>
    <t>Banki költség</t>
  </si>
  <si>
    <t>Banki költség kp felv.</t>
  </si>
  <si>
    <t>2025.09.hó</t>
  </si>
  <si>
    <t>Gulácsi Máté</t>
  </si>
  <si>
    <t>2025.10.hó</t>
  </si>
  <si>
    <t>2025.11.hó</t>
  </si>
  <si>
    <t>2025.12.hó</t>
  </si>
  <si>
    <t>2026.01.hó</t>
  </si>
  <si>
    <t>2026.02.hó</t>
  </si>
  <si>
    <t>2026.03.hó</t>
  </si>
  <si>
    <t>2026.04.hó</t>
  </si>
  <si>
    <t>2026.05.hó</t>
  </si>
  <si>
    <t>2026.06.hó</t>
  </si>
  <si>
    <t>2026.07.hó</t>
  </si>
  <si>
    <t>2026.08.hó</t>
  </si>
  <si>
    <t>2026.09.hó</t>
  </si>
  <si>
    <t>2024-25. TANÉVRŐL ÁTHOZOTT ÖSSZEG:</t>
  </si>
  <si>
    <t>2025-26. TANÉV BEFIZETÉSEK:</t>
  </si>
  <si>
    <t>Osztálykirándulás</t>
  </si>
  <si>
    <t>Tartozás előző tanévről</t>
  </si>
  <si>
    <t>OTP OSZTÁLYPÉNZ ÖSSZESEN:</t>
  </si>
  <si>
    <t>OTP SZÁMLA EGYENLEG:</t>
  </si>
  <si>
    <t>Fizetve</t>
  </si>
  <si>
    <t>Kirándulás kiadás</t>
  </si>
  <si>
    <t>Egy évvel ezelőtti tartozás befizetés + kirándulás maradvány:</t>
  </si>
  <si>
    <t>Maradt 2000 Ft</t>
  </si>
</sst>
</file>

<file path=xl/styles.xml><?xml version="1.0" encoding="utf-8"?>
<styleSheet xmlns="http://schemas.openxmlformats.org/spreadsheetml/2006/main">
  <numFmts count="1">
    <numFmt numFmtId="164" formatCode="#,##0\ &quot;Ft&quot;"/>
  </numFmts>
  <fonts count="18">
    <font>
      <sz val="11"/>
      <color theme="1"/>
      <name val="Calibri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sz val="14"/>
      <color theme="1"/>
      <name val="Montserrat"/>
      <charset val="238"/>
    </font>
    <font>
      <sz val="12"/>
      <color theme="1"/>
      <name val="Montserrat"/>
      <charset val="238"/>
    </font>
    <font>
      <sz val="14"/>
      <color theme="1"/>
      <name val="Montserrat"/>
      <charset val="238"/>
    </font>
    <font>
      <b/>
      <sz val="12"/>
      <color theme="1"/>
      <name val="Montserrat"/>
      <charset val="238"/>
    </font>
    <font>
      <sz val="10"/>
      <color theme="1"/>
      <name val="Montserrat"/>
      <charset val="238"/>
    </font>
    <font>
      <b/>
      <sz val="10"/>
      <color theme="1"/>
      <name val="Montserrat"/>
      <charset val="238"/>
    </font>
    <font>
      <b/>
      <sz val="14"/>
      <color theme="0"/>
      <name val="Montserrat"/>
      <charset val="238"/>
    </font>
    <font>
      <b/>
      <sz val="16"/>
      <color theme="0"/>
      <name val="Montserrat"/>
      <charset val="238"/>
    </font>
    <font>
      <sz val="11"/>
      <color theme="1"/>
      <name val="Montserrat"/>
      <charset val="238"/>
    </font>
    <font>
      <b/>
      <sz val="18"/>
      <color theme="0"/>
      <name val="Montserrat"/>
      <charset val="238"/>
    </font>
    <font>
      <b/>
      <sz val="12"/>
      <color theme="0"/>
      <name val="Montserrat"/>
      <charset val="238"/>
    </font>
    <font>
      <sz val="10"/>
      <color theme="1"/>
      <name val="Times New Roman"/>
      <family val="1"/>
      <charset val="238"/>
    </font>
    <font>
      <b/>
      <sz val="12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6" xfId="0" applyFont="1" applyBorder="1"/>
    <xf numFmtId="0" fontId="2" fillId="0" borderId="0" xfId="0" applyFont="1"/>
    <xf numFmtId="0" fontId="3" fillId="0" borderId="8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/>
    <xf numFmtId="0" fontId="5" fillId="4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64" fontId="6" fillId="0" borderId="0" xfId="0" applyNumberFormat="1" applyFont="1"/>
    <xf numFmtId="0" fontId="5" fillId="0" borderId="10" xfId="0" applyFont="1" applyBorder="1"/>
    <xf numFmtId="164" fontId="5" fillId="0" borderId="10" xfId="0" applyNumberFormat="1" applyFont="1" applyBorder="1" applyAlignment="1">
      <alignment horizontal="center"/>
    </xf>
    <xf numFmtId="164" fontId="5" fillId="2" borderId="10" xfId="0" applyNumberFormat="1" applyFont="1" applyFill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right"/>
    </xf>
    <xf numFmtId="0" fontId="5" fillId="4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7" fillId="0" borderId="6" xfId="0" applyFont="1" applyBorder="1"/>
    <xf numFmtId="164" fontId="7" fillId="0" borderId="7" xfId="0" applyNumberFormat="1" applyFont="1" applyBorder="1" applyAlignment="1">
      <alignment horizontal="right"/>
    </xf>
    <xf numFmtId="164" fontId="7" fillId="0" borderId="0" xfId="0" applyNumberFormat="1" applyFont="1" applyFill="1" applyBorder="1"/>
    <xf numFmtId="0" fontId="5" fillId="0" borderId="8" xfId="0" applyFont="1" applyBorder="1"/>
    <xf numFmtId="164" fontId="5" fillId="0" borderId="0" xfId="0" applyNumberFormat="1" applyFont="1" applyFill="1" applyBorder="1"/>
    <xf numFmtId="0" fontId="7" fillId="0" borderId="0" xfId="0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right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right"/>
    </xf>
    <xf numFmtId="0" fontId="5" fillId="0" borderId="0" xfId="0" applyFo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8" fillId="0" borderId="0" xfId="0" applyFont="1" applyFill="1" applyBorder="1"/>
    <xf numFmtId="164" fontId="7" fillId="0" borderId="0" xfId="0" applyNumberFormat="1" applyFont="1"/>
    <xf numFmtId="164" fontId="5" fillId="0" borderId="0" xfId="0" applyNumberFormat="1" applyFont="1"/>
    <xf numFmtId="0" fontId="9" fillId="0" borderId="4" xfId="0" applyFont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164" fontId="10" fillId="4" borderId="9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7" fillId="0" borderId="3" xfId="0" applyNumberFormat="1" applyFont="1" applyBorder="1"/>
    <xf numFmtId="164" fontId="5" fillId="2" borderId="12" xfId="0" applyNumberFormat="1" applyFont="1" applyFill="1" applyBorder="1" applyAlignment="1">
      <alignment horizontal="right"/>
    </xf>
    <xf numFmtId="164" fontId="5" fillId="0" borderId="12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right"/>
    </xf>
    <xf numFmtId="164" fontId="7" fillId="6" borderId="2" xfId="0" applyNumberFormat="1" applyFont="1" applyFill="1" applyBorder="1"/>
    <xf numFmtId="164" fontId="10" fillId="6" borderId="17" xfId="0" applyNumberFormat="1" applyFont="1" applyFill="1" applyBorder="1" applyAlignment="1">
      <alignment horizontal="center" vertical="center" wrapText="1"/>
    </xf>
    <xf numFmtId="164" fontId="7" fillId="6" borderId="18" xfId="0" applyNumberFormat="1" applyFont="1" applyFill="1" applyBorder="1"/>
    <xf numFmtId="164" fontId="7" fillId="6" borderId="19" xfId="0" applyNumberFormat="1" applyFont="1" applyFill="1" applyBorder="1"/>
    <xf numFmtId="164" fontId="7" fillId="6" borderId="20" xfId="0" applyNumberFormat="1" applyFont="1" applyFill="1" applyBorder="1"/>
    <xf numFmtId="164" fontId="9" fillId="0" borderId="13" xfId="0" applyNumberFormat="1" applyFont="1" applyBorder="1" applyAlignment="1">
      <alignment horizontal="center" vertical="center" wrapText="1"/>
    </xf>
    <xf numFmtId="164" fontId="11" fillId="7" borderId="2" xfId="0" applyNumberFormat="1" applyFont="1" applyFill="1" applyBorder="1" applyAlignment="1">
      <alignment horizontal="right"/>
    </xf>
    <xf numFmtId="164" fontId="12" fillId="8" borderId="2" xfId="0" applyNumberFormat="1" applyFont="1" applyFill="1" applyBorder="1" applyAlignment="1">
      <alignment horizontal="right"/>
    </xf>
    <xf numFmtId="0" fontId="5" fillId="0" borderId="21" xfId="0" applyFont="1" applyBorder="1"/>
    <xf numFmtId="0" fontId="6" fillId="0" borderId="22" xfId="0" applyFont="1" applyBorder="1" applyAlignment="1">
      <alignment horizontal="center"/>
    </xf>
    <xf numFmtId="164" fontId="14" fillId="0" borderId="0" xfId="0" applyNumberFormat="1" applyFont="1" applyFill="1" applyBorder="1"/>
    <xf numFmtId="0" fontId="8" fillId="0" borderId="22" xfId="0" applyFont="1" applyFill="1" applyBorder="1" applyAlignment="1">
      <alignment horizontal="right"/>
    </xf>
    <xf numFmtId="0" fontId="5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164" fontId="12" fillId="7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64" fontId="9" fillId="0" borderId="14" xfId="0" applyNumberFormat="1" applyFont="1" applyBorder="1"/>
    <xf numFmtId="164" fontId="9" fillId="0" borderId="15" xfId="0" applyNumberFormat="1" applyFont="1" applyBorder="1"/>
    <xf numFmtId="164" fontId="10" fillId="0" borderId="2" xfId="0" applyNumberFormat="1" applyFont="1" applyBorder="1"/>
    <xf numFmtId="164" fontId="9" fillId="0" borderId="0" xfId="0" applyNumberFormat="1" applyFont="1"/>
    <xf numFmtId="164" fontId="10" fillId="0" borderId="0" xfId="0" applyNumberFormat="1" applyFont="1"/>
    <xf numFmtId="164" fontId="16" fillId="0" borderId="0" xfId="0" applyNumberFormat="1" applyFont="1"/>
    <xf numFmtId="164" fontId="15" fillId="9" borderId="14" xfId="0" applyNumberFormat="1" applyFont="1" applyFill="1" applyBorder="1"/>
    <xf numFmtId="0" fontId="15" fillId="9" borderId="0" xfId="0" applyFont="1" applyFill="1"/>
    <xf numFmtId="164" fontId="11" fillId="9" borderId="23" xfId="0" applyNumberFormat="1" applyFont="1" applyFill="1" applyBorder="1" applyAlignment="1">
      <alignment horizontal="center" wrapText="1"/>
    </xf>
    <xf numFmtId="164" fontId="11" fillId="9" borderId="24" xfId="0" applyNumberFormat="1" applyFont="1" applyFill="1" applyBorder="1" applyAlignment="1">
      <alignment horizontal="right" wrapText="1"/>
    </xf>
    <xf numFmtId="0" fontId="7" fillId="5" borderId="21" xfId="0" applyFont="1" applyFill="1" applyBorder="1" applyAlignment="1">
      <alignment horizontal="right"/>
    </xf>
    <xf numFmtId="164" fontId="7" fillId="5" borderId="23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right" vertical="center"/>
    </xf>
    <xf numFmtId="0" fontId="17" fillId="0" borderId="25" xfId="0" applyFont="1" applyBorder="1" applyAlignment="1">
      <alignment horizontal="right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00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zoomScale="70" zoomScaleNormal="70" workbookViewId="0">
      <selection activeCell="V26" sqref="V26"/>
    </sheetView>
  </sheetViews>
  <sheetFormatPr defaultColWidth="8.85546875" defaultRowHeight="15.75"/>
  <cols>
    <col min="1" max="1" width="4" style="3" bestFit="1" customWidth="1"/>
    <col min="2" max="2" width="33" style="3" customWidth="1"/>
    <col min="3" max="3" width="15.7109375" style="6" customWidth="1"/>
    <col min="4" max="4" width="18.42578125" style="6" customWidth="1"/>
    <col min="5" max="5" width="18" style="6" customWidth="1"/>
    <col min="6" max="15" width="15.7109375" style="6" customWidth="1"/>
    <col min="16" max="16" width="25.5703125" style="7" customWidth="1"/>
    <col min="17" max="17" width="25.7109375" style="3" customWidth="1"/>
    <col min="18" max="18" width="24.7109375" style="21" customWidth="1"/>
    <col min="19" max="19" width="18" style="89" customWidth="1"/>
    <col min="20" max="20" width="18" style="3" customWidth="1"/>
    <col min="21" max="16384" width="8.85546875" style="3"/>
  </cols>
  <sheetData>
    <row r="1" spans="1:19" s="62" customFormat="1" ht="33" customHeight="1" thickBot="1">
      <c r="A1" s="58"/>
      <c r="B1" s="59" t="s">
        <v>38</v>
      </c>
      <c r="C1" s="59" t="s">
        <v>45</v>
      </c>
      <c r="D1" s="59" t="s">
        <v>47</v>
      </c>
      <c r="E1" s="59" t="s">
        <v>48</v>
      </c>
      <c r="F1" s="59" t="s">
        <v>49</v>
      </c>
      <c r="G1" s="59" t="s">
        <v>50</v>
      </c>
      <c r="H1" s="59" t="s">
        <v>51</v>
      </c>
      <c r="I1" s="59" t="s">
        <v>52</v>
      </c>
      <c r="J1" s="59" t="s">
        <v>53</v>
      </c>
      <c r="K1" s="59" t="s">
        <v>54</v>
      </c>
      <c r="L1" s="59" t="s">
        <v>55</v>
      </c>
      <c r="M1" s="59" t="s">
        <v>56</v>
      </c>
      <c r="N1" s="59" t="s">
        <v>57</v>
      </c>
      <c r="O1" s="59" t="s">
        <v>58</v>
      </c>
      <c r="P1" s="60" t="s">
        <v>36</v>
      </c>
      <c r="Q1" s="61" t="s">
        <v>37</v>
      </c>
      <c r="R1" s="68" t="s">
        <v>61</v>
      </c>
      <c r="S1" s="72" t="s">
        <v>62</v>
      </c>
    </row>
    <row r="2" spans="1:19" ht="24.75">
      <c r="A2" s="2">
        <v>1</v>
      </c>
      <c r="B2" s="24" t="s">
        <v>18</v>
      </c>
      <c r="C2" s="25">
        <v>10000</v>
      </c>
      <c r="D2" s="25">
        <v>10000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>
        <f>SUM(C2:O2)</f>
        <v>20000</v>
      </c>
      <c r="Q2" s="63">
        <f>20000-P2</f>
        <v>0</v>
      </c>
      <c r="R2" s="69">
        <v>40000</v>
      </c>
      <c r="S2" s="84"/>
    </row>
    <row r="3" spans="1:19" ht="24.75">
      <c r="A3" s="2">
        <v>2</v>
      </c>
      <c r="B3" s="24" t="s">
        <v>28</v>
      </c>
      <c r="C3" s="25"/>
      <c r="D3" s="25">
        <v>20000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6">
        <f t="shared" ref="P3:P38" si="0">SUM(C3:O3)</f>
        <v>20000</v>
      </c>
      <c r="Q3" s="63">
        <f t="shared" ref="Q3:Q38" si="1">20000-P3</f>
        <v>0</v>
      </c>
      <c r="R3" s="70"/>
      <c r="S3" s="84"/>
    </row>
    <row r="4" spans="1:19" ht="24.75">
      <c r="A4" s="2">
        <v>3</v>
      </c>
      <c r="B4" s="24" t="s">
        <v>29</v>
      </c>
      <c r="C4" s="25"/>
      <c r="D4" s="25">
        <v>20000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>
        <f t="shared" si="0"/>
        <v>20000</v>
      </c>
      <c r="Q4" s="63">
        <f t="shared" si="1"/>
        <v>0</v>
      </c>
      <c r="R4" s="70">
        <v>40000</v>
      </c>
      <c r="S4" s="84"/>
    </row>
    <row r="5" spans="1:19" ht="24.75">
      <c r="A5" s="2">
        <v>4</v>
      </c>
      <c r="B5" s="24" t="s">
        <v>19</v>
      </c>
      <c r="C5" s="25"/>
      <c r="D5" s="25">
        <v>20000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>
        <f t="shared" si="0"/>
        <v>20000</v>
      </c>
      <c r="Q5" s="63">
        <f t="shared" si="1"/>
        <v>0</v>
      </c>
      <c r="R5" s="70">
        <v>40000</v>
      </c>
      <c r="S5" s="84"/>
    </row>
    <row r="6" spans="1:19" ht="24.75">
      <c r="A6" s="2">
        <v>5</v>
      </c>
      <c r="B6" s="24" t="s">
        <v>0</v>
      </c>
      <c r="C6" s="25"/>
      <c r="D6" s="25"/>
      <c r="E6" s="25"/>
      <c r="F6" s="25"/>
      <c r="G6" s="25"/>
      <c r="H6" s="25">
        <v>20000</v>
      </c>
      <c r="I6" s="25"/>
      <c r="J6" s="25"/>
      <c r="K6" s="25"/>
      <c r="L6" s="25"/>
      <c r="M6" s="25"/>
      <c r="N6" s="25"/>
      <c r="O6" s="25"/>
      <c r="P6" s="26">
        <f t="shared" si="0"/>
        <v>20000</v>
      </c>
      <c r="Q6" s="63">
        <f t="shared" si="1"/>
        <v>0</v>
      </c>
      <c r="R6" s="70">
        <v>40000</v>
      </c>
      <c r="S6" s="84"/>
    </row>
    <row r="7" spans="1:19" ht="24.75">
      <c r="A7" s="2">
        <v>6</v>
      </c>
      <c r="B7" s="24" t="s">
        <v>1</v>
      </c>
      <c r="C7" s="25"/>
      <c r="D7" s="25"/>
      <c r="E7" s="25">
        <v>20000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6">
        <f t="shared" si="0"/>
        <v>20000</v>
      </c>
      <c r="Q7" s="63">
        <f t="shared" si="1"/>
        <v>0</v>
      </c>
      <c r="R7" s="70">
        <v>40000</v>
      </c>
      <c r="S7" s="84"/>
    </row>
    <row r="8" spans="1:19" ht="24.75">
      <c r="A8" s="2">
        <v>7</v>
      </c>
      <c r="B8" s="24" t="s">
        <v>20</v>
      </c>
      <c r="C8" s="25"/>
      <c r="D8" s="25"/>
      <c r="E8" s="25"/>
      <c r="F8" s="25"/>
      <c r="G8" s="25"/>
      <c r="H8" s="25">
        <v>20000</v>
      </c>
      <c r="I8" s="25"/>
      <c r="J8" s="25"/>
      <c r="K8" s="25"/>
      <c r="L8" s="25"/>
      <c r="M8" s="25"/>
      <c r="N8" s="25"/>
      <c r="O8" s="25"/>
      <c r="P8" s="26">
        <f t="shared" si="0"/>
        <v>20000</v>
      </c>
      <c r="Q8" s="63">
        <f t="shared" si="1"/>
        <v>0</v>
      </c>
      <c r="R8" s="70">
        <v>40000</v>
      </c>
      <c r="S8" s="84"/>
    </row>
    <row r="9" spans="1:19" ht="24.75">
      <c r="A9" s="2">
        <v>8</v>
      </c>
      <c r="B9" s="24" t="s">
        <v>2</v>
      </c>
      <c r="C9" s="25"/>
      <c r="D9" s="25"/>
      <c r="E9" s="25"/>
      <c r="F9" s="25"/>
      <c r="G9" s="25"/>
      <c r="H9" s="25"/>
      <c r="I9" s="25"/>
      <c r="J9" s="25"/>
      <c r="K9" s="25">
        <v>20000</v>
      </c>
      <c r="L9" s="25"/>
      <c r="M9" s="25"/>
      <c r="N9" s="25"/>
      <c r="O9" s="25"/>
      <c r="P9" s="26">
        <f t="shared" si="0"/>
        <v>20000</v>
      </c>
      <c r="Q9" s="63">
        <f t="shared" si="1"/>
        <v>0</v>
      </c>
      <c r="R9" s="70">
        <v>40000</v>
      </c>
      <c r="S9" s="84"/>
    </row>
    <row r="10" spans="1:19" ht="24.75">
      <c r="A10" s="2">
        <v>9</v>
      </c>
      <c r="B10" s="24" t="s">
        <v>3</v>
      </c>
      <c r="C10" s="25"/>
      <c r="D10" s="25">
        <v>4000</v>
      </c>
      <c r="E10" s="25"/>
      <c r="F10" s="25">
        <v>6000</v>
      </c>
      <c r="G10" s="25"/>
      <c r="H10" s="25"/>
      <c r="I10" s="25">
        <v>10000</v>
      </c>
      <c r="J10" s="25"/>
      <c r="K10" s="25"/>
      <c r="L10" s="25"/>
      <c r="M10" s="25"/>
      <c r="N10" s="25"/>
      <c r="O10" s="25"/>
      <c r="P10" s="26">
        <f t="shared" si="0"/>
        <v>20000</v>
      </c>
      <c r="Q10" s="63">
        <f t="shared" si="1"/>
        <v>0</v>
      </c>
      <c r="R10" s="70">
        <v>40000</v>
      </c>
      <c r="S10" s="84"/>
    </row>
    <row r="11" spans="1:19" ht="24.75">
      <c r="A11" s="2">
        <v>10</v>
      </c>
      <c r="B11" s="24" t="s">
        <v>4</v>
      </c>
      <c r="C11" s="25"/>
      <c r="D11" s="25"/>
      <c r="E11" s="25"/>
      <c r="F11" s="25"/>
      <c r="G11" s="25"/>
      <c r="H11" s="25"/>
      <c r="I11" s="25"/>
      <c r="J11" s="25"/>
      <c r="K11" s="25">
        <v>20000</v>
      </c>
      <c r="L11" s="25"/>
      <c r="M11" s="25"/>
      <c r="N11" s="25"/>
      <c r="O11" s="25"/>
      <c r="P11" s="26">
        <f t="shared" si="0"/>
        <v>20000</v>
      </c>
      <c r="Q11" s="63">
        <f t="shared" si="1"/>
        <v>0</v>
      </c>
      <c r="R11" s="70">
        <v>40000</v>
      </c>
      <c r="S11" s="84"/>
    </row>
    <row r="12" spans="1:19" ht="24.75">
      <c r="A12" s="2">
        <v>11</v>
      </c>
      <c r="B12" s="24" t="s">
        <v>5</v>
      </c>
      <c r="C12" s="25"/>
      <c r="D12" s="25">
        <v>20000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>
        <f t="shared" si="0"/>
        <v>20000</v>
      </c>
      <c r="Q12" s="63">
        <f t="shared" si="1"/>
        <v>0</v>
      </c>
      <c r="R12" s="70">
        <v>40000</v>
      </c>
      <c r="S12" s="84"/>
    </row>
    <row r="13" spans="1:19" ht="24.75">
      <c r="A13" s="2">
        <v>12</v>
      </c>
      <c r="B13" s="24" t="s">
        <v>21</v>
      </c>
      <c r="C13" s="25"/>
      <c r="D13" s="25"/>
      <c r="E13" s="25"/>
      <c r="F13" s="25">
        <v>10000</v>
      </c>
      <c r="G13" s="25"/>
      <c r="H13" s="25">
        <v>10000</v>
      </c>
      <c r="I13" s="25"/>
      <c r="J13" s="25"/>
      <c r="K13" s="25"/>
      <c r="L13" s="25"/>
      <c r="M13" s="25"/>
      <c r="N13" s="25"/>
      <c r="O13" s="25"/>
      <c r="P13" s="26">
        <f t="shared" si="0"/>
        <v>20000</v>
      </c>
      <c r="Q13" s="63">
        <f t="shared" si="1"/>
        <v>0</v>
      </c>
      <c r="R13" s="70">
        <v>40000</v>
      </c>
      <c r="S13" s="84"/>
    </row>
    <row r="14" spans="1:19" ht="24.75">
      <c r="A14" s="2">
        <v>13</v>
      </c>
      <c r="B14" s="24" t="s">
        <v>6</v>
      </c>
      <c r="C14" s="25"/>
      <c r="D14" s="25">
        <v>10000</v>
      </c>
      <c r="E14" s="25"/>
      <c r="F14" s="25"/>
      <c r="G14" s="25">
        <v>10000</v>
      </c>
      <c r="H14" s="25"/>
      <c r="I14" s="25"/>
      <c r="J14" s="25"/>
      <c r="K14" s="25"/>
      <c r="L14" s="25"/>
      <c r="M14" s="25"/>
      <c r="N14" s="25"/>
      <c r="O14" s="25"/>
      <c r="P14" s="26">
        <f t="shared" si="0"/>
        <v>20000</v>
      </c>
      <c r="Q14" s="63">
        <f t="shared" si="1"/>
        <v>0</v>
      </c>
      <c r="R14" s="70">
        <v>40000</v>
      </c>
      <c r="S14" s="84"/>
    </row>
    <row r="15" spans="1:19" ht="24.75">
      <c r="A15" s="2">
        <v>14</v>
      </c>
      <c r="B15" s="24" t="s">
        <v>22</v>
      </c>
      <c r="C15" s="25"/>
      <c r="D15" s="25">
        <v>20000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>
        <f t="shared" si="0"/>
        <v>20000</v>
      </c>
      <c r="Q15" s="63">
        <f t="shared" si="1"/>
        <v>0</v>
      </c>
      <c r="R15" s="70">
        <v>40000</v>
      </c>
      <c r="S15" s="84"/>
    </row>
    <row r="16" spans="1:19" ht="24.75">
      <c r="A16" s="2">
        <v>15</v>
      </c>
      <c r="B16" s="24" t="s">
        <v>46</v>
      </c>
      <c r="C16" s="25"/>
      <c r="D16" s="25"/>
      <c r="E16" s="25"/>
      <c r="F16" s="25"/>
      <c r="G16" s="25"/>
      <c r="H16" s="25"/>
      <c r="I16" s="25"/>
      <c r="J16" s="25"/>
      <c r="K16" s="25">
        <v>20000</v>
      </c>
      <c r="L16" s="25"/>
      <c r="M16" s="25"/>
      <c r="N16" s="25"/>
      <c r="O16" s="25"/>
      <c r="P16" s="26">
        <f t="shared" si="0"/>
        <v>20000</v>
      </c>
      <c r="Q16" s="63">
        <f t="shared" si="1"/>
        <v>0</v>
      </c>
      <c r="R16" s="70">
        <v>40000</v>
      </c>
      <c r="S16" s="84"/>
    </row>
    <row r="17" spans="1:20" ht="24.75">
      <c r="A17" s="2">
        <v>16</v>
      </c>
      <c r="B17" s="24" t="s">
        <v>30</v>
      </c>
      <c r="C17" s="25"/>
      <c r="D17" s="25">
        <v>10000</v>
      </c>
      <c r="E17" s="25"/>
      <c r="F17" s="25"/>
      <c r="G17" s="25"/>
      <c r="H17" s="25">
        <v>10000</v>
      </c>
      <c r="I17" s="25"/>
      <c r="J17" s="25"/>
      <c r="K17" s="25"/>
      <c r="L17" s="25"/>
      <c r="M17" s="25"/>
      <c r="N17" s="25"/>
      <c r="O17" s="25"/>
      <c r="P17" s="26">
        <f t="shared" si="0"/>
        <v>20000</v>
      </c>
      <c r="Q17" s="63">
        <f t="shared" si="1"/>
        <v>0</v>
      </c>
      <c r="R17" s="70">
        <v>40000</v>
      </c>
      <c r="S17" s="84"/>
    </row>
    <row r="18" spans="1:20" ht="24.75">
      <c r="A18" s="2">
        <v>17</v>
      </c>
      <c r="B18" s="24" t="s">
        <v>23</v>
      </c>
      <c r="C18" s="25"/>
      <c r="D18" s="25">
        <v>18000</v>
      </c>
      <c r="E18" s="25"/>
      <c r="F18" s="25"/>
      <c r="G18" s="25">
        <v>4000</v>
      </c>
      <c r="H18" s="25"/>
      <c r="I18" s="25"/>
      <c r="J18" s="25"/>
      <c r="K18" s="25"/>
      <c r="L18" s="25"/>
      <c r="M18" s="25"/>
      <c r="N18" s="25"/>
      <c r="O18" s="25"/>
      <c r="P18" s="26">
        <f t="shared" si="0"/>
        <v>22000</v>
      </c>
      <c r="Q18" s="63">
        <f t="shared" si="1"/>
        <v>-2000</v>
      </c>
      <c r="R18" s="70">
        <v>40000</v>
      </c>
      <c r="S18" s="90">
        <v>14000</v>
      </c>
      <c r="T18" s="91" t="s">
        <v>65</v>
      </c>
    </row>
    <row r="19" spans="1:20" ht="24.75">
      <c r="A19" s="2">
        <v>18</v>
      </c>
      <c r="B19" s="24" t="s">
        <v>7</v>
      </c>
      <c r="C19" s="25"/>
      <c r="D19" s="25">
        <v>20000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>
        <f t="shared" si="0"/>
        <v>20000</v>
      </c>
      <c r="Q19" s="63">
        <f t="shared" si="1"/>
        <v>0</v>
      </c>
      <c r="R19" s="70">
        <v>40000</v>
      </c>
      <c r="S19" s="84"/>
    </row>
    <row r="20" spans="1:20" ht="24.75">
      <c r="A20" s="2">
        <v>19</v>
      </c>
      <c r="B20" s="24" t="s">
        <v>8</v>
      </c>
      <c r="C20" s="25"/>
      <c r="D20" s="25"/>
      <c r="E20" s="25"/>
      <c r="F20" s="25"/>
      <c r="G20" s="25"/>
      <c r="H20" s="25"/>
      <c r="I20" s="25"/>
      <c r="J20" s="25"/>
      <c r="K20" s="25">
        <v>20000</v>
      </c>
      <c r="L20" s="25"/>
      <c r="M20" s="25"/>
      <c r="N20" s="25"/>
      <c r="O20" s="25"/>
      <c r="P20" s="26">
        <f t="shared" si="0"/>
        <v>20000</v>
      </c>
      <c r="Q20" s="63">
        <f t="shared" si="1"/>
        <v>0</v>
      </c>
      <c r="R20" s="70">
        <v>40000</v>
      </c>
      <c r="S20" s="84"/>
    </row>
    <row r="21" spans="1:20" ht="24.75">
      <c r="A21" s="2">
        <v>20</v>
      </c>
      <c r="B21" s="24" t="s">
        <v>24</v>
      </c>
      <c r="C21" s="25"/>
      <c r="D21" s="25">
        <v>20000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>
        <f t="shared" si="0"/>
        <v>20000</v>
      </c>
      <c r="Q21" s="63">
        <f t="shared" si="1"/>
        <v>0</v>
      </c>
      <c r="R21" s="70">
        <v>40000</v>
      </c>
      <c r="S21" s="84"/>
    </row>
    <row r="22" spans="1:20" ht="24.75">
      <c r="A22" s="2">
        <v>21</v>
      </c>
      <c r="B22" s="24" t="s">
        <v>9</v>
      </c>
      <c r="C22" s="25"/>
      <c r="D22" s="25">
        <v>20000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>
        <f t="shared" si="0"/>
        <v>20000</v>
      </c>
      <c r="Q22" s="63">
        <f t="shared" si="1"/>
        <v>0</v>
      </c>
      <c r="R22" s="70">
        <v>40000</v>
      </c>
      <c r="S22" s="84"/>
    </row>
    <row r="23" spans="1:20" ht="24.75">
      <c r="A23" s="2">
        <v>22</v>
      </c>
      <c r="B23" s="24" t="s">
        <v>31</v>
      </c>
      <c r="C23" s="25"/>
      <c r="D23" s="25"/>
      <c r="E23" s="25">
        <v>20000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>
        <f t="shared" si="0"/>
        <v>20000</v>
      </c>
      <c r="Q23" s="63">
        <f t="shared" si="1"/>
        <v>0</v>
      </c>
      <c r="R23" s="70">
        <v>40000</v>
      </c>
      <c r="S23" s="84"/>
    </row>
    <row r="24" spans="1:20" ht="24.75">
      <c r="A24" s="2">
        <v>23</v>
      </c>
      <c r="B24" s="24" t="s">
        <v>10</v>
      </c>
      <c r="C24" s="25"/>
      <c r="D24" s="25"/>
      <c r="E24" s="25">
        <v>20000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>
        <f t="shared" si="0"/>
        <v>20000</v>
      </c>
      <c r="Q24" s="63">
        <f t="shared" si="1"/>
        <v>0</v>
      </c>
      <c r="R24" s="70">
        <v>40000</v>
      </c>
      <c r="S24" s="84"/>
    </row>
    <row r="25" spans="1:20" ht="24.75">
      <c r="A25" s="2">
        <v>24</v>
      </c>
      <c r="B25" s="24" t="s">
        <v>11</v>
      </c>
      <c r="C25" s="25">
        <v>2000</v>
      </c>
      <c r="D25" s="25">
        <v>2000</v>
      </c>
      <c r="E25" s="25">
        <v>2000</v>
      </c>
      <c r="F25" s="25">
        <v>2000</v>
      </c>
      <c r="G25" s="25">
        <v>2000</v>
      </c>
      <c r="H25" s="25">
        <v>2000</v>
      </c>
      <c r="I25" s="25">
        <v>2000</v>
      </c>
      <c r="J25" s="25">
        <v>2000</v>
      </c>
      <c r="K25" s="25">
        <v>2000</v>
      </c>
      <c r="L25" s="25">
        <v>2000</v>
      </c>
      <c r="M25" s="25"/>
      <c r="N25" s="25"/>
      <c r="O25" s="25"/>
      <c r="P25" s="26">
        <f t="shared" si="0"/>
        <v>20000</v>
      </c>
      <c r="Q25" s="63">
        <f t="shared" si="1"/>
        <v>0</v>
      </c>
      <c r="R25" s="70">
        <v>40000</v>
      </c>
      <c r="S25" s="84"/>
    </row>
    <row r="26" spans="1:20" ht="24.75">
      <c r="A26" s="2">
        <v>25</v>
      </c>
      <c r="B26" s="24" t="s">
        <v>32</v>
      </c>
      <c r="C26" s="25"/>
      <c r="D26" s="25"/>
      <c r="E26" s="25">
        <v>20000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>
        <f t="shared" si="0"/>
        <v>20000</v>
      </c>
      <c r="Q26" s="63">
        <f t="shared" si="1"/>
        <v>0</v>
      </c>
      <c r="R26" s="70">
        <v>31000</v>
      </c>
      <c r="S26" s="84"/>
    </row>
    <row r="27" spans="1:20" ht="24.75">
      <c r="A27" s="2">
        <v>26</v>
      </c>
      <c r="B27" s="24" t="s">
        <v>12</v>
      </c>
      <c r="C27" s="25"/>
      <c r="D27" s="25"/>
      <c r="E27" s="25"/>
      <c r="F27" s="25"/>
      <c r="G27" s="25"/>
      <c r="H27" s="25"/>
      <c r="I27" s="25">
        <v>20000</v>
      </c>
      <c r="J27" s="25"/>
      <c r="K27" s="25"/>
      <c r="L27" s="25"/>
      <c r="M27" s="25"/>
      <c r="N27" s="25"/>
      <c r="O27" s="25"/>
      <c r="P27" s="26">
        <f t="shared" si="0"/>
        <v>20000</v>
      </c>
      <c r="Q27" s="63">
        <f t="shared" si="1"/>
        <v>0</v>
      </c>
      <c r="R27" s="70">
        <v>40000</v>
      </c>
      <c r="S27" s="84"/>
    </row>
    <row r="28" spans="1:20" ht="24.75">
      <c r="A28" s="2">
        <v>27</v>
      </c>
      <c r="B28" s="24" t="s">
        <v>13</v>
      </c>
      <c r="C28" s="25"/>
      <c r="D28" s="25"/>
      <c r="E28" s="25"/>
      <c r="F28" s="25"/>
      <c r="G28" s="25"/>
      <c r="H28" s="25"/>
      <c r="I28" s="25"/>
      <c r="J28" s="25"/>
      <c r="K28" s="25">
        <v>12000</v>
      </c>
      <c r="L28" s="25"/>
      <c r="M28" s="25"/>
      <c r="N28" s="25"/>
      <c r="O28" s="25"/>
      <c r="P28" s="26">
        <f t="shared" si="0"/>
        <v>12000</v>
      </c>
      <c r="Q28" s="63">
        <f t="shared" si="1"/>
        <v>8000</v>
      </c>
      <c r="R28" s="70">
        <v>40000</v>
      </c>
      <c r="S28" s="84">
        <v>2000</v>
      </c>
    </row>
    <row r="29" spans="1:20" ht="24.75">
      <c r="A29" s="2">
        <v>28</v>
      </c>
      <c r="B29" s="24" t="s">
        <v>33</v>
      </c>
      <c r="C29" s="25"/>
      <c r="D29" s="25"/>
      <c r="E29" s="25">
        <v>20000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>
        <f t="shared" si="0"/>
        <v>20000</v>
      </c>
      <c r="Q29" s="63">
        <f t="shared" si="1"/>
        <v>0</v>
      </c>
      <c r="R29" s="70">
        <v>40000</v>
      </c>
      <c r="S29" s="84"/>
    </row>
    <row r="30" spans="1:20" ht="24.75">
      <c r="A30" s="2">
        <v>29</v>
      </c>
      <c r="B30" s="24" t="s">
        <v>14</v>
      </c>
      <c r="C30" s="25"/>
      <c r="D30" s="25"/>
      <c r="E30" s="25"/>
      <c r="F30" s="25"/>
      <c r="G30" s="25">
        <v>10000</v>
      </c>
      <c r="H30" s="25"/>
      <c r="I30" s="25"/>
      <c r="J30" s="25">
        <v>10000</v>
      </c>
      <c r="K30" s="25"/>
      <c r="L30" s="25"/>
      <c r="M30" s="25"/>
      <c r="N30" s="25"/>
      <c r="O30" s="25"/>
      <c r="P30" s="26">
        <f t="shared" si="0"/>
        <v>20000</v>
      </c>
      <c r="Q30" s="63">
        <f t="shared" si="1"/>
        <v>0</v>
      </c>
      <c r="R30" s="70">
        <v>40000</v>
      </c>
      <c r="S30" s="84"/>
    </row>
    <row r="31" spans="1:20" ht="24.75">
      <c r="A31" s="2">
        <v>30</v>
      </c>
      <c r="B31" s="24" t="s">
        <v>34</v>
      </c>
      <c r="C31" s="25"/>
      <c r="D31" s="25">
        <v>20000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6">
        <f t="shared" si="0"/>
        <v>20000</v>
      </c>
      <c r="Q31" s="63">
        <f t="shared" si="1"/>
        <v>0</v>
      </c>
      <c r="R31" s="70">
        <v>40000</v>
      </c>
      <c r="S31" s="84"/>
    </row>
    <row r="32" spans="1:20" ht="24.75">
      <c r="A32" s="2">
        <v>31</v>
      </c>
      <c r="B32" s="24" t="s">
        <v>25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>
        <f t="shared" si="0"/>
        <v>0</v>
      </c>
      <c r="Q32" s="63">
        <f t="shared" si="1"/>
        <v>20000</v>
      </c>
      <c r="R32" s="70"/>
      <c r="S32" s="84"/>
    </row>
    <row r="33" spans="1:19" ht="24.75">
      <c r="A33" s="2">
        <v>32</v>
      </c>
      <c r="B33" s="24" t="s">
        <v>26</v>
      </c>
      <c r="C33" s="25"/>
      <c r="D33" s="25">
        <v>4000</v>
      </c>
      <c r="E33" s="25">
        <v>2000</v>
      </c>
      <c r="F33" s="25">
        <v>2000</v>
      </c>
      <c r="G33" s="25">
        <v>2000</v>
      </c>
      <c r="H33" s="25">
        <v>2000</v>
      </c>
      <c r="I33" s="25">
        <v>2000</v>
      </c>
      <c r="J33" s="25">
        <v>2000</v>
      </c>
      <c r="K33" s="25">
        <v>4000</v>
      </c>
      <c r="L33" s="25"/>
      <c r="M33" s="25"/>
      <c r="N33" s="25"/>
      <c r="O33" s="25"/>
      <c r="P33" s="26">
        <f t="shared" si="0"/>
        <v>20000</v>
      </c>
      <c r="Q33" s="63">
        <f t="shared" si="1"/>
        <v>0</v>
      </c>
      <c r="R33" s="70">
        <v>40000</v>
      </c>
      <c r="S33" s="84"/>
    </row>
    <row r="34" spans="1:19" ht="24.75">
      <c r="A34" s="2">
        <v>33</v>
      </c>
      <c r="B34" s="24" t="s">
        <v>35</v>
      </c>
      <c r="C34" s="25"/>
      <c r="D34" s="25"/>
      <c r="E34" s="25"/>
      <c r="F34" s="25"/>
      <c r="G34" s="25"/>
      <c r="H34" s="25">
        <v>20000</v>
      </c>
      <c r="I34" s="25"/>
      <c r="J34" s="25"/>
      <c r="K34" s="25"/>
      <c r="L34" s="25"/>
      <c r="M34" s="25"/>
      <c r="N34" s="25"/>
      <c r="O34" s="25"/>
      <c r="P34" s="26">
        <f t="shared" si="0"/>
        <v>20000</v>
      </c>
      <c r="Q34" s="63">
        <f t="shared" si="1"/>
        <v>0</v>
      </c>
      <c r="R34" s="70">
        <v>40000</v>
      </c>
      <c r="S34" s="84"/>
    </row>
    <row r="35" spans="1:19" ht="24.75">
      <c r="A35" s="2">
        <v>34</v>
      </c>
      <c r="B35" s="24" t="s">
        <v>27</v>
      </c>
      <c r="C35" s="25"/>
      <c r="D35" s="25"/>
      <c r="E35" s="25">
        <v>20000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>
        <f t="shared" si="0"/>
        <v>20000</v>
      </c>
      <c r="Q35" s="63">
        <f t="shared" si="1"/>
        <v>0</v>
      </c>
      <c r="R35" s="70">
        <v>40000</v>
      </c>
      <c r="S35" s="84"/>
    </row>
    <row r="36" spans="1:19" ht="24.75">
      <c r="A36" s="2">
        <v>35</v>
      </c>
      <c r="B36" s="24" t="s">
        <v>15</v>
      </c>
      <c r="C36" s="25">
        <v>20000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6">
        <f t="shared" si="0"/>
        <v>20000</v>
      </c>
      <c r="Q36" s="63">
        <f t="shared" si="1"/>
        <v>0</v>
      </c>
      <c r="R36" s="70">
        <v>40000</v>
      </c>
      <c r="S36" s="84"/>
    </row>
    <row r="37" spans="1:19" ht="24.75">
      <c r="A37" s="2">
        <v>36</v>
      </c>
      <c r="B37" s="24" t="s">
        <v>16</v>
      </c>
      <c r="C37" s="25"/>
      <c r="D37" s="25">
        <v>10000</v>
      </c>
      <c r="E37" s="25"/>
      <c r="F37" s="25"/>
      <c r="G37" s="25"/>
      <c r="H37" s="25">
        <v>10000</v>
      </c>
      <c r="I37" s="25"/>
      <c r="J37" s="25"/>
      <c r="K37" s="25"/>
      <c r="L37" s="25"/>
      <c r="M37" s="25"/>
      <c r="N37" s="25"/>
      <c r="O37" s="25"/>
      <c r="P37" s="26">
        <f t="shared" si="0"/>
        <v>20000</v>
      </c>
      <c r="Q37" s="63">
        <f t="shared" si="1"/>
        <v>0</v>
      </c>
      <c r="R37" s="70">
        <v>40000</v>
      </c>
      <c r="S37" s="84"/>
    </row>
    <row r="38" spans="1:19" ht="25.5" thickBot="1">
      <c r="A38" s="2">
        <v>37</v>
      </c>
      <c r="B38" s="24" t="s">
        <v>17</v>
      </c>
      <c r="C38" s="25">
        <v>20000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6">
        <f t="shared" si="0"/>
        <v>20000</v>
      </c>
      <c r="Q38" s="63">
        <f t="shared" si="1"/>
        <v>0</v>
      </c>
      <c r="R38" s="71">
        <v>40000</v>
      </c>
      <c r="S38" s="85"/>
    </row>
    <row r="39" spans="1:19" s="5" customFormat="1" ht="25.5" thickBot="1">
      <c r="A39" s="4"/>
      <c r="B39" s="28" t="s">
        <v>39</v>
      </c>
      <c r="C39" s="29">
        <f>SUM(C2:C38)</f>
        <v>52000</v>
      </c>
      <c r="D39" s="29">
        <f t="shared" ref="D39:O39" si="2">SUM(D2:D38)</f>
        <v>248000</v>
      </c>
      <c r="E39" s="29">
        <f t="shared" si="2"/>
        <v>124000</v>
      </c>
      <c r="F39" s="29">
        <f t="shared" si="2"/>
        <v>20000</v>
      </c>
      <c r="G39" s="29">
        <f t="shared" si="2"/>
        <v>28000</v>
      </c>
      <c r="H39" s="29">
        <f t="shared" si="2"/>
        <v>94000</v>
      </c>
      <c r="I39" s="29">
        <f t="shared" si="2"/>
        <v>34000</v>
      </c>
      <c r="J39" s="29">
        <f t="shared" si="2"/>
        <v>14000</v>
      </c>
      <c r="K39" s="29">
        <f t="shared" si="2"/>
        <v>98000</v>
      </c>
      <c r="L39" s="29">
        <f t="shared" si="2"/>
        <v>2000</v>
      </c>
      <c r="M39" s="29">
        <f t="shared" si="2"/>
        <v>0</v>
      </c>
      <c r="N39" s="29">
        <f t="shared" si="2"/>
        <v>0</v>
      </c>
      <c r="O39" s="29">
        <f t="shared" si="2"/>
        <v>0</v>
      </c>
      <c r="P39" s="30">
        <f>SUM(P2:P38)</f>
        <v>714000</v>
      </c>
      <c r="Q39" s="64">
        <f>SUM(Q2:Q38)</f>
        <v>26000</v>
      </c>
      <c r="R39" s="67">
        <f>SUM(R2:R38)</f>
        <v>1391000</v>
      </c>
      <c r="S39" s="86">
        <v>2000</v>
      </c>
    </row>
    <row r="40" spans="1:19" ht="25.5" thickBot="1"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3"/>
      <c r="Q40" s="94" t="s">
        <v>66</v>
      </c>
      <c r="R40" s="95">
        <v>1389000</v>
      </c>
      <c r="S40" s="87"/>
    </row>
    <row r="41" spans="1:19" s="9" customFormat="1" ht="27.6" customHeight="1" thickBot="1">
      <c r="A41" s="8"/>
      <c r="B41" s="34" t="s">
        <v>41</v>
      </c>
      <c r="C41" s="22" t="s">
        <v>45</v>
      </c>
      <c r="D41" s="22" t="s">
        <v>47</v>
      </c>
      <c r="E41" s="22" t="s">
        <v>48</v>
      </c>
      <c r="F41" s="22" t="s">
        <v>49</v>
      </c>
      <c r="G41" s="22" t="s">
        <v>50</v>
      </c>
      <c r="H41" s="22" t="s">
        <v>51</v>
      </c>
      <c r="I41" s="22" t="s">
        <v>52</v>
      </c>
      <c r="J41" s="22" t="s">
        <v>53</v>
      </c>
      <c r="K41" s="22" t="s">
        <v>54</v>
      </c>
      <c r="L41" s="22" t="s">
        <v>55</v>
      </c>
      <c r="M41" s="22" t="s">
        <v>56</v>
      </c>
      <c r="N41" s="22" t="s">
        <v>57</v>
      </c>
      <c r="O41" s="22" t="s">
        <v>58</v>
      </c>
      <c r="P41" s="23" t="s">
        <v>42</v>
      </c>
      <c r="Q41" s="35"/>
      <c r="R41" s="93" t="s">
        <v>68</v>
      </c>
      <c r="S41" s="92">
        <v>14000</v>
      </c>
    </row>
    <row r="42" spans="1:19" ht="24.75">
      <c r="A42" s="10"/>
      <c r="B42" s="36" t="s">
        <v>40</v>
      </c>
      <c r="C42" s="25">
        <v>1500</v>
      </c>
      <c r="D42" s="25"/>
      <c r="E42" s="25"/>
      <c r="F42" s="25"/>
      <c r="G42" s="25"/>
      <c r="H42" s="25"/>
      <c r="I42" s="25">
        <v>36919</v>
      </c>
      <c r="J42" s="25"/>
      <c r="K42" s="25"/>
      <c r="L42" s="25"/>
      <c r="M42" s="25"/>
      <c r="N42" s="25"/>
      <c r="O42" s="25"/>
      <c r="P42" s="37">
        <f>SUM(C42:O42)</f>
        <v>38419</v>
      </c>
      <c r="Q42" s="38"/>
      <c r="R42" s="33"/>
      <c r="S42" s="87"/>
    </row>
    <row r="43" spans="1:19" ht="24.75">
      <c r="A43" s="10"/>
      <c r="B43" s="36" t="s">
        <v>43</v>
      </c>
      <c r="C43" s="25">
        <v>3632</v>
      </c>
      <c r="D43" s="25">
        <v>225</v>
      </c>
      <c r="E43" s="25">
        <v>225</v>
      </c>
      <c r="F43" s="25">
        <v>-273</v>
      </c>
      <c r="G43" s="25"/>
      <c r="H43" s="25">
        <v>863</v>
      </c>
      <c r="I43" s="25">
        <v>344</v>
      </c>
      <c r="J43" s="25"/>
      <c r="K43" s="25"/>
      <c r="L43" s="25"/>
      <c r="M43" s="25"/>
      <c r="N43" s="25"/>
      <c r="O43" s="25"/>
      <c r="P43" s="37">
        <f t="shared" ref="P43:P45" si="3">SUM(C43:O43)</f>
        <v>5016</v>
      </c>
      <c r="Q43" s="38"/>
      <c r="R43" s="56"/>
      <c r="S43" s="87"/>
    </row>
    <row r="44" spans="1:19" ht="25.5" thickBot="1">
      <c r="A44" s="10"/>
      <c r="B44" s="36" t="s">
        <v>44</v>
      </c>
      <c r="C44" s="25"/>
      <c r="D44" s="25"/>
      <c r="E44" s="25"/>
      <c r="F44" s="25"/>
      <c r="G44" s="25"/>
      <c r="H44" s="25">
        <v>39000</v>
      </c>
      <c r="I44" s="25">
        <v>10000</v>
      </c>
      <c r="J44" s="25"/>
      <c r="K44" s="25"/>
      <c r="L44" s="25">
        <v>17225</v>
      </c>
      <c r="M44" s="25"/>
      <c r="N44" s="25"/>
      <c r="O44" s="25"/>
      <c r="P44" s="66">
        <f t="shared" si="3"/>
        <v>66225</v>
      </c>
      <c r="Q44" s="38"/>
      <c r="R44" s="56"/>
      <c r="S44" s="87"/>
    </row>
    <row r="45" spans="1:19" s="5" customFormat="1" ht="25.5" thickBot="1">
      <c r="A45" s="11"/>
      <c r="B45" s="39" t="s">
        <v>39</v>
      </c>
      <c r="C45" s="29">
        <f>SUM(C42:C44)</f>
        <v>5132</v>
      </c>
      <c r="D45" s="29">
        <f t="shared" ref="D45:O45" si="4">SUM(D42:D44)</f>
        <v>225</v>
      </c>
      <c r="E45" s="29">
        <f t="shared" si="4"/>
        <v>225</v>
      </c>
      <c r="F45" s="29">
        <f t="shared" si="4"/>
        <v>-273</v>
      </c>
      <c r="G45" s="29">
        <f t="shared" si="4"/>
        <v>0</v>
      </c>
      <c r="H45" s="29">
        <f t="shared" si="4"/>
        <v>39863</v>
      </c>
      <c r="I45" s="29">
        <f t="shared" si="4"/>
        <v>47263</v>
      </c>
      <c r="J45" s="29">
        <f t="shared" si="4"/>
        <v>0</v>
      </c>
      <c r="K45" s="29">
        <f t="shared" si="4"/>
        <v>0</v>
      </c>
      <c r="L45" s="29">
        <f t="shared" si="4"/>
        <v>17225</v>
      </c>
      <c r="M45" s="29">
        <f t="shared" si="4"/>
        <v>0</v>
      </c>
      <c r="N45" s="29">
        <f t="shared" si="4"/>
        <v>0</v>
      </c>
      <c r="O45" s="65">
        <f t="shared" si="4"/>
        <v>0</v>
      </c>
      <c r="P45" s="73">
        <f t="shared" si="3"/>
        <v>109660</v>
      </c>
      <c r="Q45" s="40"/>
      <c r="R45" s="57"/>
      <c r="S45" s="88"/>
    </row>
    <row r="46" spans="1:19" ht="24.75"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3"/>
      <c r="Q46" s="41"/>
      <c r="R46" s="56"/>
      <c r="S46" s="87"/>
    </row>
    <row r="47" spans="1:19" ht="24.75">
      <c r="B47" s="42" t="s">
        <v>59</v>
      </c>
      <c r="C47" s="43"/>
      <c r="D47" s="43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5">
        <v>627081</v>
      </c>
      <c r="Q47" s="31"/>
      <c r="R47" s="56"/>
      <c r="S47" s="87"/>
    </row>
    <row r="48" spans="1:19" s="1" customFormat="1" ht="25.5" thickBot="1">
      <c r="B48" s="46" t="s">
        <v>60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8">
        <v>714000</v>
      </c>
      <c r="Q48" s="40"/>
      <c r="R48" s="57"/>
      <c r="S48" s="88"/>
    </row>
    <row r="49" spans="2:19" ht="27.75" thickBot="1">
      <c r="B49" s="49" t="s">
        <v>63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1"/>
      <c r="P49" s="74">
        <v>1341081</v>
      </c>
      <c r="Q49" s="52"/>
      <c r="R49" s="56"/>
      <c r="S49" s="87"/>
    </row>
    <row r="50" spans="2:19" ht="27">
      <c r="B50" s="79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1" t="s">
        <v>41</v>
      </c>
      <c r="P50" s="82">
        <v>109660</v>
      </c>
      <c r="Q50" s="52"/>
      <c r="R50" s="56"/>
      <c r="S50" s="87"/>
    </row>
    <row r="51" spans="2:19" ht="24.75"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53"/>
      <c r="P51" s="83">
        <v>1231421</v>
      </c>
      <c r="Q51" s="54"/>
      <c r="R51" s="27"/>
      <c r="S51" s="87"/>
    </row>
    <row r="52" spans="2:19" ht="25.5" thickBot="1">
      <c r="B52" s="31"/>
      <c r="C52" s="32"/>
      <c r="D52" s="32"/>
      <c r="E52" s="32"/>
      <c r="F52" s="32"/>
      <c r="G52" s="32"/>
      <c r="H52" s="32"/>
      <c r="I52" s="32"/>
      <c r="J52" s="32"/>
      <c r="K52" s="98" t="s">
        <v>67</v>
      </c>
      <c r="L52" s="99"/>
      <c r="M52" s="99"/>
      <c r="N52" s="99"/>
      <c r="O52" s="99"/>
      <c r="P52" s="83">
        <v>16000</v>
      </c>
      <c r="Q52" s="54"/>
      <c r="R52" s="27"/>
      <c r="S52" s="87"/>
    </row>
    <row r="53" spans="2:19" ht="27.75" thickBot="1">
      <c r="B53" s="75" t="s">
        <v>64</v>
      </c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8"/>
      <c r="P53" s="74">
        <v>1247421</v>
      </c>
      <c r="Q53" s="55"/>
      <c r="R53" s="27"/>
      <c r="S53" s="87"/>
    </row>
    <row r="54" spans="2:19" ht="24.75">
      <c r="N54" s="96"/>
      <c r="O54" s="96"/>
      <c r="P54" s="40"/>
      <c r="Q54" s="15"/>
    </row>
    <row r="55" spans="2:19" ht="31.5">
      <c r="N55" s="96"/>
      <c r="O55" s="97"/>
      <c r="P55" s="77"/>
      <c r="Q55" s="15"/>
    </row>
    <row r="56" spans="2:19">
      <c r="N56" s="16"/>
      <c r="O56" s="13"/>
      <c r="P56" s="14"/>
      <c r="Q56" s="12"/>
    </row>
    <row r="57" spans="2:19">
      <c r="N57" s="16"/>
      <c r="O57" s="13"/>
      <c r="P57" s="14"/>
      <c r="Q57" s="12"/>
    </row>
    <row r="58" spans="2:19">
      <c r="N58" s="16"/>
      <c r="O58" s="13"/>
      <c r="P58" s="14"/>
      <c r="Q58" s="12"/>
    </row>
    <row r="59" spans="2:19">
      <c r="N59" s="16"/>
      <c r="O59" s="13"/>
      <c r="P59" s="14"/>
      <c r="Q59" s="12"/>
    </row>
    <row r="60" spans="2:19">
      <c r="O60" s="17"/>
      <c r="P60" s="18"/>
      <c r="Q60" s="12"/>
    </row>
    <row r="61" spans="2:19">
      <c r="O61" s="19"/>
      <c r="P61" s="20"/>
      <c r="Q61" s="12"/>
    </row>
  </sheetData>
  <sortState ref="B1:B36">
    <sortCondition ref="B1:B36"/>
  </sortState>
  <mergeCells count="3">
    <mergeCell ref="N54:O54"/>
    <mergeCell ref="N55:O55"/>
    <mergeCell ref="K52:O52"/>
  </mergeCells>
  <printOptions horizontalCentered="1"/>
  <pageMargins left="0.11811023622047245" right="0.11811023622047245" top="0.55118110236220474" bottom="0.35433070866141736" header="0.11811023622047245" footer="0.11811023622047245"/>
  <pageSetup paperSize="9" scale="62" orientation="landscape" r:id="rId1"/>
  <headerFooter>
    <oddHeader>&amp;CSZIKSZI 9.D
OSZTÁLYPÉNZ NYILVÁNTARTÁS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Füzesiné Tóth Ildikó</dc:creator>
  <cp:lastModifiedBy>Rékási László</cp:lastModifiedBy>
  <cp:lastPrinted>2025-01-24T08:33:16Z</cp:lastPrinted>
  <dcterms:created xsi:type="dcterms:W3CDTF">2024-09-25T12:09:09Z</dcterms:created>
  <dcterms:modified xsi:type="dcterms:W3CDTF">2026-09-16T08:23:35Z</dcterms:modified>
</cp:coreProperties>
</file>