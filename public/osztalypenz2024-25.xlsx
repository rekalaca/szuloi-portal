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Munka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8" i="1"/>
  <c r="P41"/>
  <c r="P43"/>
  <c r="P42"/>
  <c r="T42"/>
  <c r="V42"/>
  <c r="S38"/>
  <c r="D38"/>
  <c r="E38"/>
  <c r="F38"/>
  <c r="G38"/>
  <c r="H38"/>
  <c r="I38"/>
  <c r="J38"/>
  <c r="K38"/>
  <c r="L38"/>
  <c r="C38"/>
  <c r="P3"/>
  <c r="Q3" s="1"/>
  <c r="P4"/>
  <c r="Q4" s="1"/>
  <c r="P5"/>
  <c r="Q5" s="1"/>
  <c r="P6"/>
  <c r="Q6" s="1"/>
  <c r="P7"/>
  <c r="Q7" s="1"/>
  <c r="P8"/>
  <c r="Q8" s="1"/>
  <c r="P9"/>
  <c r="Q9" s="1"/>
  <c r="P10"/>
  <c r="Q10" s="1"/>
  <c r="P11"/>
  <c r="Q11" s="1"/>
  <c r="P12"/>
  <c r="Q12" s="1"/>
  <c r="P13"/>
  <c r="Q13" s="1"/>
  <c r="P14"/>
  <c r="Q14" s="1"/>
  <c r="P15"/>
  <c r="Q15" s="1"/>
  <c r="P16"/>
  <c r="Q16" s="1"/>
  <c r="P17"/>
  <c r="Q17" s="1"/>
  <c r="P18"/>
  <c r="Q18" s="1"/>
  <c r="P19"/>
  <c r="Q19" s="1"/>
  <c r="P20"/>
  <c r="Q20" s="1"/>
  <c r="P21"/>
  <c r="Q21" s="1"/>
  <c r="P22"/>
  <c r="Q22" s="1"/>
  <c r="P23"/>
  <c r="Q23" s="1"/>
  <c r="P24"/>
  <c r="Q24" s="1"/>
  <c r="P25"/>
  <c r="Q25" s="1"/>
  <c r="P26"/>
  <c r="Q26" s="1"/>
  <c r="P27"/>
  <c r="Q27" s="1"/>
  <c r="P28"/>
  <c r="Q28" s="1"/>
  <c r="Q29"/>
  <c r="P30"/>
  <c r="Q30" s="1"/>
  <c r="P32"/>
  <c r="Q32" s="1"/>
  <c r="P33"/>
  <c r="Q33" s="1"/>
  <c r="P35"/>
  <c r="Q35" s="1"/>
  <c r="P36"/>
  <c r="Q36" s="1"/>
  <c r="P37"/>
  <c r="Q37" s="1"/>
  <c r="P2"/>
  <c r="Q2" s="1"/>
  <c r="P44" l="1"/>
  <c r="Q38"/>
  <c r="P38"/>
  <c r="P47" l="1"/>
</calcChain>
</file>

<file path=xl/sharedStrings.xml><?xml version="1.0" encoding="utf-8"?>
<sst xmlns="http://schemas.openxmlformats.org/spreadsheetml/2006/main" count="91" uniqueCount="74">
  <si>
    <t>Czirják Róbert Krisztián</t>
  </si>
  <si>
    <t>Cseke Péter Ernő</t>
  </si>
  <si>
    <t>Csobán Gábor</t>
  </si>
  <si>
    <t>Csőri Márk</t>
  </si>
  <si>
    <t>Dudics Dominik</t>
  </si>
  <si>
    <t>Erlich Benedek Zsolt</t>
  </si>
  <si>
    <t>Gonda Olivér</t>
  </si>
  <si>
    <t>Kádár Bálint Miklós</t>
  </si>
  <si>
    <t>Kardos Bence Koppány</t>
  </si>
  <si>
    <t>Márkus Péter</t>
  </si>
  <si>
    <t>Mizsák Dávid</t>
  </si>
  <si>
    <t>Molnár Benedek</t>
  </si>
  <si>
    <t>Papp Bence József</t>
  </si>
  <si>
    <t>Papp Hunor Attila</t>
  </si>
  <si>
    <t>Rékási László</t>
  </si>
  <si>
    <t>Varga Márton Balázs</t>
  </si>
  <si>
    <t>Vincze Ádám</t>
  </si>
  <si>
    <t>Virág Péter Szabolcs</t>
  </si>
  <si>
    <t>Ágoston Alex</t>
  </si>
  <si>
    <t>Bartha Levente</t>
  </si>
  <si>
    <t>Csobai Péter</t>
  </si>
  <si>
    <t>Gelsi Dávid</t>
  </si>
  <si>
    <t>Gubacsi Dominik</t>
  </si>
  <si>
    <t>Hudák Levente</t>
  </si>
  <si>
    <t>Kocsis Ferenc</t>
  </si>
  <si>
    <t>Szilágyi Viktor</t>
  </si>
  <si>
    <t>Szondi Levente</t>
  </si>
  <si>
    <t>Tábori László János</t>
  </si>
  <si>
    <t>Angel Zsombor</t>
  </si>
  <si>
    <t>Balázs Bence</t>
  </si>
  <si>
    <t>Hajzer Balázs</t>
  </si>
  <si>
    <t>Mészáros Szabolcs</t>
  </si>
  <si>
    <t>Nyíri Ábel</t>
  </si>
  <si>
    <t>Pfeffer Balázs</t>
  </si>
  <si>
    <t>Szép Levente</t>
  </si>
  <si>
    <t>Szücs Gábor</t>
  </si>
  <si>
    <t>2024.09.hó</t>
  </si>
  <si>
    <t>2024.10.hó</t>
  </si>
  <si>
    <t>2024.11.hó</t>
  </si>
  <si>
    <t>2024.12.hó</t>
  </si>
  <si>
    <t>2025.01.hó</t>
  </si>
  <si>
    <t>2025.02.hó</t>
  </si>
  <si>
    <t>2025.03.hó</t>
  </si>
  <si>
    <t>2025.04.hó</t>
  </si>
  <si>
    <t>2025.05.hó</t>
  </si>
  <si>
    <t>2025.06.hó</t>
  </si>
  <si>
    <t>Összes befizetés</t>
  </si>
  <si>
    <t>Tartozás tanévben</t>
  </si>
  <si>
    <t>Befizetés</t>
  </si>
  <si>
    <t>Összesen</t>
  </si>
  <si>
    <t>Névnapok</t>
  </si>
  <si>
    <t>Kiadás</t>
  </si>
  <si>
    <t>Összes kiadás</t>
  </si>
  <si>
    <t>OSZTÁLYPÉNZ EGYENLEG</t>
  </si>
  <si>
    <t>Banki költség</t>
  </si>
  <si>
    <t>Banki költség kp felv.</t>
  </si>
  <si>
    <t>2025.07.hó</t>
  </si>
  <si>
    <t>2025.08.hó</t>
  </si>
  <si>
    <t>2025.09.hó</t>
  </si>
  <si>
    <t>temetés</t>
  </si>
  <si>
    <t>felvéve:</t>
  </si>
  <si>
    <t>Kirándulás pénz</t>
  </si>
  <si>
    <t>maradvány:</t>
  </si>
  <si>
    <t>Bogrács</t>
  </si>
  <si>
    <t>bográcsozás</t>
  </si>
  <si>
    <t>Számlán:</t>
  </si>
  <si>
    <t>KP befiz</t>
  </si>
  <si>
    <t>KP bevétel:</t>
  </si>
  <si>
    <t>KP kiadás:</t>
  </si>
  <si>
    <t>Bál</t>
  </si>
  <si>
    <t>Bográcsozás</t>
  </si>
  <si>
    <t>Temetés</t>
  </si>
  <si>
    <t>szept. névnap</t>
  </si>
  <si>
    <t>Kártyáról levenni:</t>
  </si>
</sst>
</file>

<file path=xl/styles.xml><?xml version="1.0" encoding="utf-8"?>
<styleSheet xmlns="http://schemas.openxmlformats.org/spreadsheetml/2006/main">
  <numFmts count="1">
    <numFmt numFmtId="164" formatCode="#,##0\ &quot;Ft&quot;"/>
  </numFmts>
  <fonts count="9"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theme="1"/>
      <name val="Segoe UI"/>
      <family val="2"/>
      <charset val="238"/>
    </font>
    <font>
      <sz val="11"/>
      <color theme="1"/>
      <name val="Segoe UI"/>
      <family val="2"/>
      <charset val="238"/>
    </font>
    <font>
      <b/>
      <sz val="14"/>
      <color theme="1"/>
      <name val="Segoe UI"/>
      <family val="2"/>
      <charset val="238"/>
    </font>
    <font>
      <b/>
      <sz val="18"/>
      <color theme="1"/>
      <name val="Segoe UI"/>
      <family val="2"/>
      <charset val="238"/>
    </font>
    <font>
      <b/>
      <sz val="18"/>
      <color rgb="FFFF0000"/>
      <name val="Segoe UI"/>
      <family val="2"/>
      <charset val="238"/>
    </font>
    <font>
      <b/>
      <sz val="11"/>
      <color rgb="FFFF0000"/>
      <name val="Segoe U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64" fontId="2" fillId="0" borderId="0" xfId="0" applyNumberFormat="1" applyFont="1"/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4" xfId="0" applyFont="1" applyBorder="1"/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64" fontId="4" fillId="0" borderId="5" xfId="0" applyNumberFormat="1" applyFont="1" applyBorder="1"/>
    <xf numFmtId="0" fontId="4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164" fontId="3" fillId="2" borderId="5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  <xf numFmtId="164" fontId="4" fillId="0" borderId="1" xfId="0" applyNumberFormat="1" applyFont="1" applyBorder="1"/>
    <xf numFmtId="164" fontId="3" fillId="2" borderId="1" xfId="0" applyNumberFormat="1" applyFont="1" applyFill="1" applyBorder="1"/>
    <xf numFmtId="164" fontId="3" fillId="0" borderId="0" xfId="0" applyNumberFormat="1" applyFont="1"/>
    <xf numFmtId="0" fontId="4" fillId="0" borderId="0" xfId="0" applyFont="1" applyAlignment="1">
      <alignment horizontal="right"/>
    </xf>
    <xf numFmtId="0" fontId="5" fillId="3" borderId="5" xfId="0" applyFont="1" applyFill="1" applyBorder="1"/>
    <xf numFmtId="164" fontId="5" fillId="3" borderId="6" xfId="0" applyNumberFormat="1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right"/>
    </xf>
    <xf numFmtId="164" fontId="3" fillId="0" borderId="0" xfId="0" applyNumberFormat="1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164" fontId="4" fillId="0" borderId="7" xfId="0" applyNumberFormat="1" applyFont="1" applyBorder="1"/>
    <xf numFmtId="164" fontId="4" fillId="0" borderId="8" xfId="0" applyNumberFormat="1" applyFont="1" applyBorder="1"/>
    <xf numFmtId="164" fontId="3" fillId="0" borderId="9" xfId="0" applyNumberFormat="1" applyFont="1" applyBorder="1"/>
    <xf numFmtId="164" fontId="4" fillId="0" borderId="16" xfId="0" applyNumberFormat="1" applyFont="1" applyBorder="1"/>
    <xf numFmtId="164" fontId="4" fillId="0" borderId="6" xfId="0" applyNumberFormat="1" applyFont="1" applyBorder="1"/>
    <xf numFmtId="164" fontId="4" fillId="0" borderId="17" xfId="0" applyNumberFormat="1" applyFont="1" applyBorder="1"/>
    <xf numFmtId="164" fontId="3" fillId="2" borderId="0" xfId="0" applyNumberFormat="1" applyFont="1" applyFill="1" applyBorder="1"/>
    <xf numFmtId="164" fontId="4" fillId="0" borderId="0" xfId="0" applyNumberFormat="1" applyFont="1" applyBorder="1"/>
    <xf numFmtId="164" fontId="3" fillId="0" borderId="18" xfId="0" applyNumberFormat="1" applyFont="1" applyBorder="1"/>
    <xf numFmtId="0" fontId="3" fillId="0" borderId="19" xfId="0" applyFont="1" applyBorder="1" applyAlignment="1">
      <alignment horizontal="center" wrapText="1"/>
    </xf>
    <xf numFmtId="164" fontId="3" fillId="0" borderId="20" xfId="0" applyNumberFormat="1" applyFont="1" applyBorder="1" applyAlignment="1">
      <alignment horizontal="left" wrapText="1"/>
    </xf>
    <xf numFmtId="164" fontId="4" fillId="0" borderId="12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 wrapText="1"/>
    </xf>
    <xf numFmtId="164" fontId="4" fillId="0" borderId="14" xfId="0" applyNumberFormat="1" applyFont="1" applyBorder="1" applyAlignment="1">
      <alignment horizontal="center"/>
    </xf>
    <xf numFmtId="164" fontId="1" fillId="0" borderId="0" xfId="0" applyNumberFormat="1" applyFont="1"/>
    <xf numFmtId="164" fontId="4" fillId="0" borderId="13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 wrapText="1"/>
    </xf>
    <xf numFmtId="164" fontId="4" fillId="0" borderId="21" xfId="0" applyNumberFormat="1" applyFont="1" applyBorder="1"/>
    <xf numFmtId="164" fontId="4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 wrapText="1"/>
    </xf>
    <xf numFmtId="164" fontId="4" fillId="0" borderId="17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164" fontId="2" fillId="0" borderId="10" xfId="0" applyNumberFormat="1" applyFont="1" applyBorder="1"/>
    <xf numFmtId="164" fontId="1" fillId="0" borderId="11" xfId="0" applyNumberFormat="1" applyFont="1" applyBorder="1"/>
    <xf numFmtId="164" fontId="1" fillId="0" borderId="14" xfId="0" applyNumberFormat="1" applyFont="1" applyBorder="1"/>
    <xf numFmtId="164" fontId="1" fillId="0" borderId="15" xfId="0" applyNumberFormat="1" applyFont="1" applyBorder="1"/>
    <xf numFmtId="164" fontId="4" fillId="0" borderId="4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right"/>
    </xf>
    <xf numFmtId="164" fontId="4" fillId="0" borderId="23" xfId="0" applyNumberFormat="1" applyFont="1" applyBorder="1"/>
    <xf numFmtId="164" fontId="4" fillId="0" borderId="24" xfId="0" applyNumberFormat="1" applyFont="1" applyBorder="1" applyAlignment="1">
      <alignment horizontal="center"/>
    </xf>
    <xf numFmtId="164" fontId="4" fillId="0" borderId="16" xfId="0" applyNumberFormat="1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26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164" fontId="4" fillId="0" borderId="27" xfId="0" applyNumberFormat="1" applyFont="1" applyBorder="1" applyAlignment="1">
      <alignment horizontal="center" wrapText="1"/>
    </xf>
    <xf numFmtId="164" fontId="4" fillId="0" borderId="28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64" fontId="3" fillId="0" borderId="27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164" fontId="3" fillId="0" borderId="0" xfId="0" applyNumberFormat="1" applyFont="1" applyAlignment="1">
      <alignment horizontal="left"/>
    </xf>
    <xf numFmtId="164" fontId="6" fillId="4" borderId="2" xfId="0" applyNumberFormat="1" applyFont="1" applyFill="1" applyBorder="1" applyAlignment="1">
      <alignment horizontal="left"/>
    </xf>
    <xf numFmtId="164" fontId="3" fillId="0" borderId="2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right"/>
    </xf>
    <xf numFmtId="0" fontId="3" fillId="0" borderId="19" xfId="0" applyFont="1" applyBorder="1" applyAlignment="1">
      <alignment horizontal="center"/>
    </xf>
    <xf numFmtId="164" fontId="7" fillId="0" borderId="20" xfId="0" applyNumberFormat="1" applyFont="1" applyBorder="1" applyAlignment="1">
      <alignment horizontal="left"/>
    </xf>
    <xf numFmtId="164" fontId="8" fillId="0" borderId="5" xfId="0" applyNumberFormat="1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tabSelected="1" topLeftCell="D25" zoomScale="90" zoomScaleNormal="90" workbookViewId="0">
      <selection activeCell="O60" sqref="O60"/>
    </sheetView>
  </sheetViews>
  <sheetFormatPr defaultColWidth="8.85546875" defaultRowHeight="15"/>
  <cols>
    <col min="1" max="1" width="4" style="2" bestFit="1" customWidth="1"/>
    <col min="2" max="2" width="25" style="2" customWidth="1"/>
    <col min="3" max="14" width="15.7109375" style="4" customWidth="1"/>
    <col min="15" max="15" width="19.5703125" style="4" customWidth="1"/>
    <col min="16" max="16" width="21.5703125" style="80" customWidth="1"/>
    <col min="17" max="17" width="22" style="2" customWidth="1"/>
    <col min="18" max="18" width="12.7109375" style="2" customWidth="1"/>
    <col min="19" max="19" width="17.140625" style="6" customWidth="1"/>
    <col min="20" max="20" width="8.85546875" style="6"/>
    <col min="21" max="21" width="11.28515625" style="6" customWidth="1"/>
    <col min="22" max="22" width="11" style="6" bestFit="1" customWidth="1"/>
    <col min="23" max="16384" width="8.85546875" style="2"/>
  </cols>
  <sheetData>
    <row r="1" spans="1:22" s="1" customFormat="1" ht="27.6" customHeight="1" thickBot="1">
      <c r="B1" s="7" t="s">
        <v>48</v>
      </c>
      <c r="C1" s="69" t="s">
        <v>36</v>
      </c>
      <c r="D1" s="70" t="s">
        <v>37</v>
      </c>
      <c r="E1" s="71" t="s">
        <v>38</v>
      </c>
      <c r="F1" s="71" t="s">
        <v>39</v>
      </c>
      <c r="G1" s="71" t="s">
        <v>40</v>
      </c>
      <c r="H1" s="71" t="s">
        <v>41</v>
      </c>
      <c r="I1" s="71" t="s">
        <v>42</v>
      </c>
      <c r="J1" s="71" t="s">
        <v>43</v>
      </c>
      <c r="K1" s="71" t="s">
        <v>44</v>
      </c>
      <c r="L1" s="71" t="s">
        <v>45</v>
      </c>
      <c r="M1" s="71" t="s">
        <v>56</v>
      </c>
      <c r="N1" s="71" t="s">
        <v>57</v>
      </c>
      <c r="O1" s="71" t="s">
        <v>58</v>
      </c>
      <c r="P1" s="75" t="s">
        <v>46</v>
      </c>
      <c r="Q1" s="71" t="s">
        <v>47</v>
      </c>
      <c r="R1" s="71" t="s">
        <v>66</v>
      </c>
      <c r="S1" s="72" t="s">
        <v>61</v>
      </c>
      <c r="T1" s="72" t="s">
        <v>63</v>
      </c>
      <c r="U1" s="72"/>
      <c r="V1" s="73" t="s">
        <v>59</v>
      </c>
    </row>
    <row r="2" spans="1:22" ht="16.5">
      <c r="A2" s="5">
        <v>1</v>
      </c>
      <c r="B2" s="11" t="s">
        <v>18</v>
      </c>
      <c r="C2" s="12"/>
      <c r="D2" s="63">
        <v>20000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>
        <f>SUM(C2:L2)</f>
        <v>20000</v>
      </c>
      <c r="Q2" s="65">
        <f>20000-P2</f>
        <v>0</v>
      </c>
      <c r="R2" s="37"/>
      <c r="S2" s="53">
        <v>25000</v>
      </c>
      <c r="T2" s="66"/>
      <c r="U2" s="67"/>
      <c r="V2" s="68">
        <v>5000</v>
      </c>
    </row>
    <row r="3" spans="1:22" ht="16.5">
      <c r="A3" s="5">
        <v>2</v>
      </c>
      <c r="B3" s="15" t="s">
        <v>28</v>
      </c>
      <c r="C3" s="12"/>
      <c r="D3" s="12"/>
      <c r="E3" s="12">
        <v>20000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3">
        <f t="shared" ref="P3:P37" si="0">SUM(C3:L3)</f>
        <v>20000</v>
      </c>
      <c r="Q3" s="14">
        <f t="shared" ref="Q3:Q37" si="1">20000-P3</f>
        <v>0</v>
      </c>
      <c r="R3" s="38"/>
      <c r="S3" s="34">
        <v>25000</v>
      </c>
      <c r="T3" s="45"/>
      <c r="U3" s="54"/>
      <c r="V3" s="50"/>
    </row>
    <row r="4" spans="1:22" ht="16.5">
      <c r="A4" s="5">
        <v>3</v>
      </c>
      <c r="B4" s="15" t="s">
        <v>29</v>
      </c>
      <c r="C4" s="12"/>
      <c r="D4" s="12"/>
      <c r="E4" s="12"/>
      <c r="F4" s="12"/>
      <c r="G4" s="12"/>
      <c r="H4" s="12"/>
      <c r="I4" s="12"/>
      <c r="J4" s="12">
        <v>20000</v>
      </c>
      <c r="K4" s="12"/>
      <c r="L4" s="12"/>
      <c r="M4" s="12"/>
      <c r="N4" s="12"/>
      <c r="O4" s="12"/>
      <c r="P4" s="13">
        <f t="shared" si="0"/>
        <v>20000</v>
      </c>
      <c r="Q4" s="14">
        <f t="shared" si="1"/>
        <v>0</v>
      </c>
      <c r="R4" s="38"/>
      <c r="S4" s="34">
        <v>25000</v>
      </c>
      <c r="T4" s="45"/>
      <c r="U4" s="54"/>
      <c r="V4" s="50">
        <v>5000</v>
      </c>
    </row>
    <row r="5" spans="1:22" ht="16.5">
      <c r="A5" s="5">
        <v>4</v>
      </c>
      <c r="B5" s="15" t="s">
        <v>19</v>
      </c>
      <c r="C5" s="12"/>
      <c r="D5" s="12">
        <v>20000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3">
        <f t="shared" si="0"/>
        <v>20000</v>
      </c>
      <c r="Q5" s="14">
        <f t="shared" si="1"/>
        <v>0</v>
      </c>
      <c r="R5" s="38"/>
      <c r="S5" s="34">
        <v>25000</v>
      </c>
      <c r="T5" s="45"/>
      <c r="U5" s="54"/>
      <c r="V5" s="50">
        <v>2000</v>
      </c>
    </row>
    <row r="6" spans="1:22" ht="16.5">
      <c r="A6" s="5">
        <v>5</v>
      </c>
      <c r="B6" s="15" t="s">
        <v>0</v>
      </c>
      <c r="C6" s="12"/>
      <c r="D6" s="12"/>
      <c r="E6" s="12"/>
      <c r="F6" s="12"/>
      <c r="G6" s="12"/>
      <c r="H6" s="12"/>
      <c r="I6" s="12">
        <v>20000</v>
      </c>
      <c r="J6" s="12"/>
      <c r="K6" s="12"/>
      <c r="L6" s="12"/>
      <c r="M6" s="12"/>
      <c r="N6" s="12"/>
      <c r="O6" s="12"/>
      <c r="P6" s="13">
        <f t="shared" si="0"/>
        <v>20000</v>
      </c>
      <c r="Q6" s="14">
        <f t="shared" si="1"/>
        <v>0</v>
      </c>
      <c r="R6" s="38"/>
      <c r="S6" s="34">
        <v>25000</v>
      </c>
      <c r="T6" s="45"/>
      <c r="U6" s="54"/>
      <c r="V6" s="50">
        <v>5000</v>
      </c>
    </row>
    <row r="7" spans="1:22" ht="16.5">
      <c r="A7" s="5">
        <v>6</v>
      </c>
      <c r="B7" s="15" t="s">
        <v>1</v>
      </c>
      <c r="C7" s="12"/>
      <c r="D7" s="12">
        <v>10000</v>
      </c>
      <c r="E7" s="12"/>
      <c r="F7" s="12"/>
      <c r="G7" s="12">
        <v>10000</v>
      </c>
      <c r="H7" s="12"/>
      <c r="I7" s="12"/>
      <c r="J7" s="12"/>
      <c r="K7" s="12"/>
      <c r="L7" s="12"/>
      <c r="M7" s="12"/>
      <c r="N7" s="12"/>
      <c r="O7" s="12"/>
      <c r="P7" s="13">
        <f t="shared" si="0"/>
        <v>20000</v>
      </c>
      <c r="Q7" s="14">
        <f t="shared" si="1"/>
        <v>0</v>
      </c>
      <c r="R7" s="38"/>
      <c r="S7" s="34">
        <v>25000</v>
      </c>
      <c r="T7" s="45"/>
      <c r="U7" s="54"/>
      <c r="V7" s="50"/>
    </row>
    <row r="8" spans="1:22" ht="16.5">
      <c r="A8" s="5">
        <v>7</v>
      </c>
      <c r="B8" s="15" t="s">
        <v>20</v>
      </c>
      <c r="C8" s="12"/>
      <c r="D8" s="12"/>
      <c r="E8" s="12"/>
      <c r="F8" s="12"/>
      <c r="G8" s="12"/>
      <c r="H8" s="12">
        <v>20000</v>
      </c>
      <c r="I8" s="12"/>
      <c r="J8" s="12"/>
      <c r="K8" s="12"/>
      <c r="L8" s="12"/>
      <c r="M8" s="12"/>
      <c r="N8" s="12"/>
      <c r="O8" s="12"/>
      <c r="P8" s="13">
        <f t="shared" si="0"/>
        <v>20000</v>
      </c>
      <c r="Q8" s="14">
        <f t="shared" si="1"/>
        <v>0</v>
      </c>
      <c r="R8" s="38"/>
      <c r="S8" s="34">
        <v>25000</v>
      </c>
      <c r="T8" s="45"/>
      <c r="U8" s="54"/>
      <c r="V8" s="50">
        <v>5000</v>
      </c>
    </row>
    <row r="9" spans="1:22" ht="16.5">
      <c r="A9" s="5">
        <v>8</v>
      </c>
      <c r="B9" s="15" t="s">
        <v>2</v>
      </c>
      <c r="C9" s="12"/>
      <c r="D9" s="12"/>
      <c r="E9" s="12"/>
      <c r="F9" s="12"/>
      <c r="G9" s="12"/>
      <c r="H9" s="12"/>
      <c r="I9" s="12"/>
      <c r="J9" s="12">
        <v>20000</v>
      </c>
      <c r="K9" s="12"/>
      <c r="L9" s="12"/>
      <c r="M9" s="12"/>
      <c r="N9" s="12"/>
      <c r="O9" s="12"/>
      <c r="P9" s="13">
        <f t="shared" si="0"/>
        <v>20000</v>
      </c>
      <c r="Q9" s="14">
        <f t="shared" si="1"/>
        <v>0</v>
      </c>
      <c r="R9" s="38"/>
      <c r="S9" s="34">
        <v>25000</v>
      </c>
      <c r="T9" s="45"/>
      <c r="U9" s="54"/>
      <c r="V9" s="50">
        <v>2000</v>
      </c>
    </row>
    <row r="10" spans="1:22" ht="16.5">
      <c r="A10" s="5">
        <v>9</v>
      </c>
      <c r="B10" s="15" t="s">
        <v>3</v>
      </c>
      <c r="C10" s="12"/>
      <c r="D10" s="12">
        <v>4000</v>
      </c>
      <c r="E10" s="12"/>
      <c r="F10" s="12">
        <v>4000</v>
      </c>
      <c r="G10" s="12">
        <v>2000</v>
      </c>
      <c r="H10" s="12">
        <v>2000</v>
      </c>
      <c r="I10" s="12">
        <v>2000</v>
      </c>
      <c r="J10" s="12">
        <v>2000</v>
      </c>
      <c r="K10" s="12">
        <v>4000</v>
      </c>
      <c r="L10" s="12"/>
      <c r="M10" s="12"/>
      <c r="N10" s="12"/>
      <c r="O10" s="12"/>
      <c r="P10" s="13">
        <f t="shared" si="0"/>
        <v>20000</v>
      </c>
      <c r="Q10" s="14">
        <f t="shared" si="1"/>
        <v>0</v>
      </c>
      <c r="R10" s="38"/>
      <c r="S10" s="34">
        <v>25000</v>
      </c>
      <c r="T10" s="45"/>
      <c r="U10" s="54"/>
      <c r="V10" s="50">
        <v>5000</v>
      </c>
    </row>
    <row r="11" spans="1:22" ht="16.5">
      <c r="A11" s="5">
        <v>10</v>
      </c>
      <c r="B11" s="15" t="s">
        <v>4</v>
      </c>
      <c r="C11" s="12"/>
      <c r="D11" s="12">
        <v>20000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>
        <f t="shared" si="0"/>
        <v>20000</v>
      </c>
      <c r="Q11" s="14">
        <f t="shared" si="1"/>
        <v>0</v>
      </c>
      <c r="R11" s="38"/>
      <c r="S11" s="34">
        <v>25000</v>
      </c>
      <c r="T11" s="45"/>
      <c r="U11" s="54"/>
      <c r="V11" s="50">
        <v>3000</v>
      </c>
    </row>
    <row r="12" spans="1:22" ht="16.5">
      <c r="A12" s="5">
        <v>11</v>
      </c>
      <c r="B12" s="15" t="s">
        <v>5</v>
      </c>
      <c r="C12" s="12"/>
      <c r="D12" s="12">
        <v>8000</v>
      </c>
      <c r="E12" s="12"/>
      <c r="F12" s="12"/>
      <c r="G12" s="12">
        <v>4000</v>
      </c>
      <c r="H12" s="12"/>
      <c r="I12" s="12">
        <v>4000</v>
      </c>
      <c r="J12" s="12">
        <v>4000</v>
      </c>
      <c r="K12" s="12"/>
      <c r="L12" s="12"/>
      <c r="M12" s="12"/>
      <c r="N12" s="12"/>
      <c r="O12" s="12"/>
      <c r="P12" s="13">
        <f t="shared" si="0"/>
        <v>20000</v>
      </c>
      <c r="Q12" s="14">
        <f t="shared" si="1"/>
        <v>0</v>
      </c>
      <c r="R12" s="38"/>
      <c r="S12" s="34">
        <v>25000</v>
      </c>
      <c r="T12" s="45"/>
      <c r="U12" s="54"/>
      <c r="V12" s="50">
        <v>1000</v>
      </c>
    </row>
    <row r="13" spans="1:22" ht="16.5">
      <c r="A13" s="5">
        <v>12</v>
      </c>
      <c r="B13" s="15" t="s">
        <v>21</v>
      </c>
      <c r="C13" s="12"/>
      <c r="D13" s="12">
        <v>10000</v>
      </c>
      <c r="E13" s="12"/>
      <c r="F13" s="12"/>
      <c r="G13" s="12"/>
      <c r="H13" s="12">
        <v>10000</v>
      </c>
      <c r="I13" s="12"/>
      <c r="J13" s="12"/>
      <c r="K13" s="12"/>
      <c r="L13" s="12"/>
      <c r="M13" s="12"/>
      <c r="N13" s="12"/>
      <c r="O13" s="12"/>
      <c r="P13" s="13">
        <f t="shared" si="0"/>
        <v>20000</v>
      </c>
      <c r="Q13" s="14">
        <f t="shared" si="1"/>
        <v>0</v>
      </c>
      <c r="R13" s="38"/>
      <c r="S13" s="34">
        <v>25000</v>
      </c>
      <c r="T13" s="45"/>
      <c r="U13" s="54"/>
      <c r="V13" s="50">
        <v>3000</v>
      </c>
    </row>
    <row r="14" spans="1:22" ht="16.5">
      <c r="A14" s="5">
        <v>13</v>
      </c>
      <c r="B14" s="15" t="s">
        <v>6</v>
      </c>
      <c r="C14" s="12"/>
      <c r="D14" s="12">
        <v>10000</v>
      </c>
      <c r="E14" s="12"/>
      <c r="F14" s="12"/>
      <c r="G14" s="12"/>
      <c r="H14" s="12"/>
      <c r="I14" s="12">
        <v>10000</v>
      </c>
      <c r="J14" s="12"/>
      <c r="K14" s="12"/>
      <c r="L14" s="12"/>
      <c r="M14" s="12"/>
      <c r="N14" s="12"/>
      <c r="O14" s="12"/>
      <c r="P14" s="13">
        <f t="shared" si="0"/>
        <v>20000</v>
      </c>
      <c r="Q14" s="14">
        <f t="shared" si="1"/>
        <v>0</v>
      </c>
      <c r="R14" s="38"/>
      <c r="S14" s="34">
        <v>25000</v>
      </c>
      <c r="T14" s="45"/>
      <c r="U14" s="54"/>
      <c r="V14" s="50">
        <v>5000</v>
      </c>
    </row>
    <row r="15" spans="1:22" ht="16.5">
      <c r="A15" s="5">
        <v>14</v>
      </c>
      <c r="B15" s="15" t="s">
        <v>22</v>
      </c>
      <c r="C15" s="12"/>
      <c r="D15" s="12">
        <v>20000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>
        <f t="shared" si="0"/>
        <v>20000</v>
      </c>
      <c r="Q15" s="14">
        <f t="shared" si="1"/>
        <v>0</v>
      </c>
      <c r="R15" s="38"/>
      <c r="S15" s="34">
        <v>25000</v>
      </c>
      <c r="T15" s="45"/>
      <c r="U15" s="54"/>
      <c r="V15" s="50">
        <v>2000</v>
      </c>
    </row>
    <row r="16" spans="1:22" ht="16.5">
      <c r="A16" s="5">
        <v>15</v>
      </c>
      <c r="B16" s="15" t="s">
        <v>30</v>
      </c>
      <c r="C16" s="12"/>
      <c r="D16" s="12">
        <v>10000</v>
      </c>
      <c r="E16" s="12"/>
      <c r="F16" s="12"/>
      <c r="G16" s="12"/>
      <c r="H16" s="12">
        <v>10000</v>
      </c>
      <c r="I16" s="12"/>
      <c r="J16" s="12"/>
      <c r="K16" s="12"/>
      <c r="L16" s="12"/>
      <c r="M16" s="12"/>
      <c r="N16" s="12"/>
      <c r="O16" s="12"/>
      <c r="P16" s="13">
        <f t="shared" si="0"/>
        <v>20000</v>
      </c>
      <c r="Q16" s="14">
        <f t="shared" si="1"/>
        <v>0</v>
      </c>
      <c r="R16" s="38"/>
      <c r="S16" s="34">
        <v>25000</v>
      </c>
      <c r="T16" s="45"/>
      <c r="U16" s="54"/>
      <c r="V16" s="50">
        <v>5000</v>
      </c>
    </row>
    <row r="17" spans="1:22" ht="16.5">
      <c r="A17" s="5">
        <v>16</v>
      </c>
      <c r="B17" s="15" t="s">
        <v>23</v>
      </c>
      <c r="C17" s="12"/>
      <c r="D17" s="12"/>
      <c r="E17" s="12">
        <v>6000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>
        <f t="shared" si="0"/>
        <v>6000</v>
      </c>
      <c r="Q17" s="83">
        <f t="shared" si="1"/>
        <v>14000</v>
      </c>
      <c r="R17" s="38"/>
      <c r="S17" s="34">
        <v>25000</v>
      </c>
      <c r="T17" s="45"/>
      <c r="U17" s="54"/>
      <c r="V17" s="50">
        <v>1000</v>
      </c>
    </row>
    <row r="18" spans="1:22" ht="16.5">
      <c r="A18" s="5">
        <v>17</v>
      </c>
      <c r="B18" s="15" t="s">
        <v>7</v>
      </c>
      <c r="C18" s="12"/>
      <c r="D18" s="12">
        <v>20000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>
        <f t="shared" si="0"/>
        <v>20000</v>
      </c>
      <c r="Q18" s="14">
        <f t="shared" si="1"/>
        <v>0</v>
      </c>
      <c r="R18" s="38"/>
      <c r="S18" s="34">
        <v>25000</v>
      </c>
      <c r="T18" s="45"/>
      <c r="U18" s="54"/>
      <c r="V18" s="50"/>
    </row>
    <row r="19" spans="1:22" ht="16.5">
      <c r="A19" s="5">
        <v>18</v>
      </c>
      <c r="B19" s="15" t="s">
        <v>8</v>
      </c>
      <c r="C19" s="12"/>
      <c r="D19" s="12"/>
      <c r="E19" s="12"/>
      <c r="F19" s="12"/>
      <c r="G19" s="12"/>
      <c r="H19" s="12"/>
      <c r="I19" s="12"/>
      <c r="J19" s="12">
        <v>20000</v>
      </c>
      <c r="K19" s="12"/>
      <c r="L19" s="12"/>
      <c r="M19" s="12"/>
      <c r="N19" s="12"/>
      <c r="O19" s="12"/>
      <c r="P19" s="13">
        <f t="shared" si="0"/>
        <v>20000</v>
      </c>
      <c r="Q19" s="14">
        <f t="shared" si="1"/>
        <v>0</v>
      </c>
      <c r="R19" s="38"/>
      <c r="S19" s="34">
        <v>25000</v>
      </c>
      <c r="T19" s="45">
        <v>2000</v>
      </c>
      <c r="U19" s="54"/>
      <c r="V19" s="50">
        <v>5000</v>
      </c>
    </row>
    <row r="20" spans="1:22" ht="16.5">
      <c r="A20" s="5">
        <v>19</v>
      </c>
      <c r="B20" s="15" t="s">
        <v>24</v>
      </c>
      <c r="C20" s="12"/>
      <c r="D20" s="12">
        <v>20000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>
        <f t="shared" si="0"/>
        <v>20000</v>
      </c>
      <c r="Q20" s="14">
        <f t="shared" si="1"/>
        <v>0</v>
      </c>
      <c r="R20" s="38"/>
      <c r="S20" s="34">
        <v>25000</v>
      </c>
      <c r="T20" s="45"/>
      <c r="U20" s="54"/>
      <c r="V20" s="50">
        <v>2000</v>
      </c>
    </row>
    <row r="21" spans="1:22" ht="16.5">
      <c r="A21" s="5">
        <v>20</v>
      </c>
      <c r="B21" s="15" t="s">
        <v>9</v>
      </c>
      <c r="C21" s="12"/>
      <c r="D21" s="12">
        <v>20000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>
        <f t="shared" si="0"/>
        <v>20000</v>
      </c>
      <c r="Q21" s="14">
        <f t="shared" si="1"/>
        <v>0</v>
      </c>
      <c r="R21" s="38"/>
      <c r="S21" s="34">
        <v>25000</v>
      </c>
      <c r="T21" s="45"/>
      <c r="U21" s="54"/>
      <c r="V21" s="50">
        <v>5000</v>
      </c>
    </row>
    <row r="22" spans="1:22" ht="16.5">
      <c r="A22" s="5">
        <v>21</v>
      </c>
      <c r="B22" s="15" t="s">
        <v>31</v>
      </c>
      <c r="C22" s="12"/>
      <c r="D22" s="12">
        <v>20000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>
        <f t="shared" si="0"/>
        <v>20000</v>
      </c>
      <c r="Q22" s="14">
        <f t="shared" si="1"/>
        <v>0</v>
      </c>
      <c r="R22" s="38"/>
      <c r="S22" s="34">
        <v>25000</v>
      </c>
      <c r="T22" s="45">
        <v>2000</v>
      </c>
      <c r="U22" s="54"/>
      <c r="V22" s="50">
        <v>5000</v>
      </c>
    </row>
    <row r="23" spans="1:22" ht="16.5">
      <c r="A23" s="5">
        <v>22</v>
      </c>
      <c r="B23" s="15" t="s">
        <v>10</v>
      </c>
      <c r="C23" s="12"/>
      <c r="D23" s="12">
        <v>20000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>
        <f t="shared" si="0"/>
        <v>20000</v>
      </c>
      <c r="Q23" s="14">
        <f t="shared" si="1"/>
        <v>0</v>
      </c>
      <c r="R23" s="38"/>
      <c r="S23" s="34">
        <v>25000</v>
      </c>
      <c r="T23" s="45"/>
      <c r="U23" s="54"/>
      <c r="V23" s="50">
        <v>5000</v>
      </c>
    </row>
    <row r="24" spans="1:22" ht="16.5">
      <c r="A24" s="5">
        <v>23</v>
      </c>
      <c r="B24" s="15" t="s">
        <v>11</v>
      </c>
      <c r="C24" s="12"/>
      <c r="D24" s="12">
        <v>4000</v>
      </c>
      <c r="E24" s="12">
        <v>2000</v>
      </c>
      <c r="F24" s="12">
        <v>2000</v>
      </c>
      <c r="G24" s="12">
        <v>2000</v>
      </c>
      <c r="H24" s="12">
        <v>2000</v>
      </c>
      <c r="I24" s="12">
        <v>2000</v>
      </c>
      <c r="J24" s="12">
        <v>2000</v>
      </c>
      <c r="K24" s="12">
        <v>2000</v>
      </c>
      <c r="L24" s="12">
        <v>2000</v>
      </c>
      <c r="M24" s="12"/>
      <c r="N24" s="12"/>
      <c r="O24" s="12"/>
      <c r="P24" s="13">
        <f t="shared" si="0"/>
        <v>20000</v>
      </c>
      <c r="Q24" s="14">
        <f t="shared" si="1"/>
        <v>0</v>
      </c>
      <c r="R24" s="38"/>
      <c r="S24" s="34">
        <v>25000</v>
      </c>
      <c r="T24" s="45"/>
      <c r="U24" s="54"/>
      <c r="V24" s="50">
        <v>3000</v>
      </c>
    </row>
    <row r="25" spans="1:22" ht="16.5">
      <c r="A25" s="5">
        <v>24</v>
      </c>
      <c r="B25" s="15" t="s">
        <v>32</v>
      </c>
      <c r="C25" s="12"/>
      <c r="D25" s="12">
        <v>20000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>
        <f t="shared" si="0"/>
        <v>20000</v>
      </c>
      <c r="Q25" s="14">
        <f t="shared" si="1"/>
        <v>0</v>
      </c>
      <c r="R25" s="38"/>
      <c r="S25" s="34">
        <v>25000</v>
      </c>
      <c r="T25" s="45"/>
      <c r="U25" s="54"/>
      <c r="V25" s="50">
        <v>2000</v>
      </c>
    </row>
    <row r="26" spans="1:22" ht="16.5">
      <c r="A26" s="5">
        <v>25</v>
      </c>
      <c r="B26" s="15" t="s">
        <v>12</v>
      </c>
      <c r="C26" s="12"/>
      <c r="D26" s="12">
        <v>20000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>
        <f t="shared" si="0"/>
        <v>20000</v>
      </c>
      <c r="Q26" s="14">
        <f t="shared" si="1"/>
        <v>0</v>
      </c>
      <c r="R26" s="38"/>
      <c r="S26" s="34">
        <v>25000</v>
      </c>
      <c r="T26" s="45"/>
      <c r="U26" s="54"/>
      <c r="V26" s="50">
        <v>10000</v>
      </c>
    </row>
    <row r="27" spans="1:22" ht="16.5">
      <c r="A27" s="5">
        <v>26</v>
      </c>
      <c r="B27" s="15" t="s">
        <v>13</v>
      </c>
      <c r="C27" s="12"/>
      <c r="D27" s="12"/>
      <c r="E27" s="12">
        <v>2000</v>
      </c>
      <c r="F27" s="12">
        <v>4000</v>
      </c>
      <c r="G27" s="12"/>
      <c r="H27" s="12"/>
      <c r="I27" s="12">
        <v>4000</v>
      </c>
      <c r="J27" s="12">
        <v>8000</v>
      </c>
      <c r="K27" s="12"/>
      <c r="L27" s="12"/>
      <c r="M27" s="12"/>
      <c r="N27" s="12"/>
      <c r="O27" s="12"/>
      <c r="P27" s="13">
        <f t="shared" si="0"/>
        <v>18000</v>
      </c>
      <c r="Q27" s="83">
        <f t="shared" si="1"/>
        <v>2000</v>
      </c>
      <c r="R27" s="38"/>
      <c r="S27" s="34">
        <v>25000</v>
      </c>
      <c r="T27" s="45"/>
      <c r="U27" s="54"/>
      <c r="V27" s="50">
        <v>1000</v>
      </c>
    </row>
    <row r="28" spans="1:22" ht="16.5">
      <c r="A28" s="5">
        <v>27</v>
      </c>
      <c r="B28" s="15" t="s">
        <v>33</v>
      </c>
      <c r="C28" s="12"/>
      <c r="D28" s="12"/>
      <c r="E28" s="12"/>
      <c r="F28" s="12"/>
      <c r="G28" s="12">
        <v>20000</v>
      </c>
      <c r="H28" s="12"/>
      <c r="I28" s="12"/>
      <c r="J28" s="12"/>
      <c r="K28" s="12"/>
      <c r="L28" s="12"/>
      <c r="M28" s="12"/>
      <c r="N28" s="12"/>
      <c r="O28" s="12"/>
      <c r="P28" s="13">
        <f t="shared" si="0"/>
        <v>20000</v>
      </c>
      <c r="Q28" s="14">
        <f t="shared" si="1"/>
        <v>0</v>
      </c>
      <c r="R28" s="38"/>
      <c r="S28" s="34">
        <v>25000</v>
      </c>
      <c r="T28" s="45"/>
      <c r="U28" s="54"/>
      <c r="V28" s="50">
        <v>1000</v>
      </c>
    </row>
    <row r="29" spans="1:22" ht="16.5">
      <c r="A29" s="5">
        <v>28</v>
      </c>
      <c r="B29" s="15" t="s">
        <v>14</v>
      </c>
      <c r="C29" s="12"/>
      <c r="D29" s="12">
        <v>4000</v>
      </c>
      <c r="E29" s="12"/>
      <c r="F29" s="12"/>
      <c r="G29" s="12">
        <v>8000</v>
      </c>
      <c r="H29" s="12"/>
      <c r="I29" s="12">
        <v>6000</v>
      </c>
      <c r="J29" s="12"/>
      <c r="K29" s="12"/>
      <c r="L29" s="12"/>
      <c r="M29" s="12"/>
      <c r="N29" s="12"/>
      <c r="O29" s="12">
        <v>2000</v>
      </c>
      <c r="P29" s="13">
        <v>20000</v>
      </c>
      <c r="Q29" s="14">
        <f t="shared" si="1"/>
        <v>0</v>
      </c>
      <c r="R29" s="38"/>
      <c r="S29" s="34">
        <v>25000</v>
      </c>
      <c r="T29" s="45"/>
      <c r="U29" s="54"/>
      <c r="V29" s="50">
        <v>2000</v>
      </c>
    </row>
    <row r="30" spans="1:22" ht="16.5">
      <c r="A30" s="5">
        <v>29</v>
      </c>
      <c r="B30" s="15" t="s">
        <v>34</v>
      </c>
      <c r="C30" s="12"/>
      <c r="D30" s="12">
        <v>10000</v>
      </c>
      <c r="E30" s="12"/>
      <c r="F30" s="12"/>
      <c r="G30" s="12"/>
      <c r="H30" s="12">
        <v>10000</v>
      </c>
      <c r="I30" s="12"/>
      <c r="J30" s="12"/>
      <c r="K30" s="12"/>
      <c r="L30" s="12"/>
      <c r="M30" s="12"/>
      <c r="N30" s="12"/>
      <c r="O30" s="12"/>
      <c r="P30" s="13">
        <f t="shared" si="0"/>
        <v>20000</v>
      </c>
      <c r="Q30" s="14">
        <f t="shared" si="1"/>
        <v>0</v>
      </c>
      <c r="R30" s="38"/>
      <c r="S30" s="34">
        <v>25000</v>
      </c>
      <c r="T30" s="45"/>
      <c r="U30" s="54"/>
      <c r="V30" s="50">
        <v>1000</v>
      </c>
    </row>
    <row r="31" spans="1:22" ht="16.5">
      <c r="A31" s="5">
        <v>30</v>
      </c>
      <c r="B31" s="15" t="s">
        <v>25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>
        <v>0</v>
      </c>
      <c r="Q31" s="14">
        <v>0</v>
      </c>
      <c r="R31" s="38">
        <v>20000</v>
      </c>
      <c r="S31" s="34"/>
      <c r="T31" s="45">
        <v>2000</v>
      </c>
      <c r="U31" s="54"/>
      <c r="V31" s="50">
        <v>1000</v>
      </c>
    </row>
    <row r="32" spans="1:22" ht="16.5">
      <c r="A32" s="5">
        <v>31</v>
      </c>
      <c r="B32" s="15" t="s">
        <v>26</v>
      </c>
      <c r="C32" s="12"/>
      <c r="D32" s="12">
        <v>4000</v>
      </c>
      <c r="E32" s="12">
        <v>2000</v>
      </c>
      <c r="F32" s="12">
        <v>2000</v>
      </c>
      <c r="G32" s="12">
        <v>2000</v>
      </c>
      <c r="H32" s="12">
        <v>2000</v>
      </c>
      <c r="I32" s="12">
        <v>2000</v>
      </c>
      <c r="J32" s="12">
        <v>2000</v>
      </c>
      <c r="K32" s="12">
        <v>4000</v>
      </c>
      <c r="L32" s="12"/>
      <c r="M32" s="12"/>
      <c r="N32" s="12"/>
      <c r="O32" s="12"/>
      <c r="P32" s="13">
        <f t="shared" si="0"/>
        <v>20000</v>
      </c>
      <c r="Q32" s="14">
        <f t="shared" si="1"/>
        <v>0</v>
      </c>
      <c r="R32" s="38"/>
      <c r="S32" s="34">
        <v>25000</v>
      </c>
      <c r="T32" s="45"/>
      <c r="U32" s="54"/>
      <c r="V32" s="50">
        <v>3000</v>
      </c>
    </row>
    <row r="33" spans="1:22" ht="16.5">
      <c r="A33" s="5">
        <v>32</v>
      </c>
      <c r="B33" s="15" t="s">
        <v>35</v>
      </c>
      <c r="C33" s="12"/>
      <c r="D33" s="12"/>
      <c r="E33" s="12">
        <v>10000</v>
      </c>
      <c r="F33" s="12"/>
      <c r="G33" s="12"/>
      <c r="H33" s="12"/>
      <c r="I33" s="12"/>
      <c r="J33" s="12">
        <v>10000</v>
      </c>
      <c r="K33" s="12"/>
      <c r="L33" s="12"/>
      <c r="M33" s="12"/>
      <c r="N33" s="12"/>
      <c r="O33" s="12"/>
      <c r="P33" s="13">
        <f t="shared" si="0"/>
        <v>20000</v>
      </c>
      <c r="Q33" s="14">
        <f t="shared" si="1"/>
        <v>0</v>
      </c>
      <c r="R33" s="38"/>
      <c r="S33" s="34">
        <v>25000</v>
      </c>
      <c r="T33" s="45"/>
      <c r="U33" s="54"/>
      <c r="V33" s="50">
        <v>10000</v>
      </c>
    </row>
    <row r="34" spans="1:22" ht="16.5">
      <c r="A34" s="5">
        <v>33</v>
      </c>
      <c r="B34" s="15" t="s">
        <v>27</v>
      </c>
      <c r="C34" s="12"/>
      <c r="D34" s="12"/>
      <c r="E34" s="12">
        <v>6000</v>
      </c>
      <c r="F34" s="12"/>
      <c r="G34" s="12"/>
      <c r="H34" s="12"/>
      <c r="I34" s="12"/>
      <c r="J34" s="12"/>
      <c r="K34" s="12"/>
      <c r="L34" s="12"/>
      <c r="M34" s="12"/>
      <c r="N34" s="12">
        <v>14000</v>
      </c>
      <c r="O34" s="12"/>
      <c r="P34" s="13">
        <v>20000</v>
      </c>
      <c r="Q34" s="14">
        <v>0</v>
      </c>
      <c r="R34" s="38"/>
      <c r="S34" s="34">
        <v>25000</v>
      </c>
      <c r="T34" s="45"/>
      <c r="U34" s="54"/>
      <c r="V34" s="50"/>
    </row>
    <row r="35" spans="1:22" ht="16.5">
      <c r="A35" s="5">
        <v>34</v>
      </c>
      <c r="B35" s="15" t="s">
        <v>15</v>
      </c>
      <c r="C35" s="12"/>
      <c r="D35" s="12">
        <v>20000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>
        <f t="shared" si="0"/>
        <v>20000</v>
      </c>
      <c r="Q35" s="14">
        <f t="shared" si="1"/>
        <v>0</v>
      </c>
      <c r="R35" s="38"/>
      <c r="S35" s="34">
        <v>25000</v>
      </c>
      <c r="T35" s="45"/>
      <c r="U35" s="54"/>
      <c r="V35" s="50">
        <v>5000</v>
      </c>
    </row>
    <row r="36" spans="1:22" ht="16.5">
      <c r="A36" s="5">
        <v>35</v>
      </c>
      <c r="B36" s="15" t="s">
        <v>16</v>
      </c>
      <c r="C36" s="12"/>
      <c r="D36" s="12">
        <v>4000</v>
      </c>
      <c r="E36" s="12">
        <v>4000</v>
      </c>
      <c r="F36" s="12"/>
      <c r="G36" s="12">
        <v>4000</v>
      </c>
      <c r="H36" s="12"/>
      <c r="I36" s="12">
        <v>4000</v>
      </c>
      <c r="J36" s="12"/>
      <c r="K36" s="12">
        <v>4000</v>
      </c>
      <c r="L36" s="12"/>
      <c r="M36" s="12"/>
      <c r="N36" s="12"/>
      <c r="O36" s="12"/>
      <c r="P36" s="13">
        <f t="shared" si="0"/>
        <v>20000</v>
      </c>
      <c r="Q36" s="14">
        <f t="shared" si="1"/>
        <v>0</v>
      </c>
      <c r="R36" s="38"/>
      <c r="S36" s="34">
        <v>25000</v>
      </c>
      <c r="T36" s="45"/>
      <c r="U36" s="54"/>
      <c r="V36" s="50">
        <v>10000</v>
      </c>
    </row>
    <row r="37" spans="1:22" ht="17.25" thickBot="1">
      <c r="A37" s="5">
        <v>36</v>
      </c>
      <c r="B37" s="15" t="s">
        <v>17</v>
      </c>
      <c r="C37" s="12"/>
      <c r="D37" s="12">
        <v>10000</v>
      </c>
      <c r="E37" s="12"/>
      <c r="F37" s="12"/>
      <c r="G37" s="12"/>
      <c r="H37" s="12"/>
      <c r="I37" s="12"/>
      <c r="J37" s="12">
        <v>10000</v>
      </c>
      <c r="K37" s="12"/>
      <c r="L37" s="12"/>
      <c r="M37" s="12"/>
      <c r="N37" s="12"/>
      <c r="O37" s="12"/>
      <c r="P37" s="13">
        <f t="shared" si="0"/>
        <v>20000</v>
      </c>
      <c r="Q37" s="14">
        <f t="shared" si="1"/>
        <v>0</v>
      </c>
      <c r="R37" s="39"/>
      <c r="S37" s="35">
        <v>25000</v>
      </c>
      <c r="T37" s="45"/>
      <c r="U37" s="54"/>
      <c r="V37" s="50">
        <v>10000</v>
      </c>
    </row>
    <row r="38" spans="1:22" s="3" customFormat="1" ht="17.25" thickBot="1">
      <c r="B38" s="16" t="s">
        <v>49</v>
      </c>
      <c r="C38" s="17">
        <f>SUM(C2:C37)</f>
        <v>0</v>
      </c>
      <c r="D38" s="17">
        <f t="shared" ref="D38:Q38" si="2">SUM(D2:D37)</f>
        <v>328000</v>
      </c>
      <c r="E38" s="17">
        <f t="shared" si="2"/>
        <v>52000</v>
      </c>
      <c r="F38" s="17">
        <f t="shared" si="2"/>
        <v>12000</v>
      </c>
      <c r="G38" s="17">
        <f t="shared" si="2"/>
        <v>52000</v>
      </c>
      <c r="H38" s="17">
        <f t="shared" si="2"/>
        <v>56000</v>
      </c>
      <c r="I38" s="17">
        <f t="shared" si="2"/>
        <v>54000</v>
      </c>
      <c r="J38" s="17">
        <f t="shared" si="2"/>
        <v>98000</v>
      </c>
      <c r="K38" s="17">
        <f t="shared" si="2"/>
        <v>14000</v>
      </c>
      <c r="L38" s="17">
        <f t="shared" si="2"/>
        <v>2000</v>
      </c>
      <c r="M38" s="17"/>
      <c r="N38" s="17"/>
      <c r="O38" s="17"/>
      <c r="P38" s="18">
        <f t="shared" si="2"/>
        <v>684000</v>
      </c>
      <c r="Q38" s="19">
        <f t="shared" si="2"/>
        <v>16000</v>
      </c>
      <c r="R38" s="40">
        <f>SUM(R2:R37)</f>
        <v>20000</v>
      </c>
      <c r="S38" s="36">
        <f>SUM(S2:S37)</f>
        <v>875000</v>
      </c>
      <c r="T38" s="46"/>
      <c r="U38" s="55"/>
      <c r="V38" s="51"/>
    </row>
    <row r="39" spans="1:22" ht="17.25" thickBot="1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20"/>
      <c r="R39" s="27" t="s">
        <v>60</v>
      </c>
      <c r="S39" s="42">
        <v>875000</v>
      </c>
      <c r="T39" s="45"/>
      <c r="U39" s="54"/>
      <c r="V39" s="50">
        <v>20000</v>
      </c>
    </row>
    <row r="40" spans="1:22" s="1" customFormat="1" ht="27.6" customHeight="1" thickBot="1">
      <c r="B40" s="7" t="s">
        <v>51</v>
      </c>
      <c r="C40" s="8" t="s">
        <v>36</v>
      </c>
      <c r="D40" s="9" t="s">
        <v>37</v>
      </c>
      <c r="E40" s="9" t="s">
        <v>38</v>
      </c>
      <c r="F40" s="9" t="s">
        <v>39</v>
      </c>
      <c r="G40" s="9" t="s">
        <v>40</v>
      </c>
      <c r="H40" s="9" t="s">
        <v>41</v>
      </c>
      <c r="I40" s="9" t="s">
        <v>42</v>
      </c>
      <c r="J40" s="9" t="s">
        <v>43</v>
      </c>
      <c r="K40" s="9" t="s">
        <v>44</v>
      </c>
      <c r="L40" s="9" t="s">
        <v>45</v>
      </c>
      <c r="M40" s="9" t="s">
        <v>56</v>
      </c>
      <c r="N40" s="9" t="s">
        <v>57</v>
      </c>
      <c r="O40" s="9" t="s">
        <v>58</v>
      </c>
      <c r="P40" s="76" t="s">
        <v>52</v>
      </c>
      <c r="Q40" s="10"/>
      <c r="R40" s="43" t="s">
        <v>62</v>
      </c>
      <c r="S40" s="44">
        <v>0</v>
      </c>
      <c r="T40" s="47"/>
      <c r="U40" s="56"/>
      <c r="V40" s="52">
        <v>2000</v>
      </c>
    </row>
    <row r="41" spans="1:22" ht="16.5">
      <c r="A41" s="5"/>
      <c r="B41" s="15" t="s">
        <v>50</v>
      </c>
      <c r="C41" s="12">
        <v>4385</v>
      </c>
      <c r="D41" s="12">
        <v>3982</v>
      </c>
      <c r="E41" s="12">
        <v>4378</v>
      </c>
      <c r="F41" s="12"/>
      <c r="G41" s="12"/>
      <c r="H41" s="12"/>
      <c r="I41" s="12">
        <v>12297</v>
      </c>
      <c r="J41" s="12"/>
      <c r="K41" s="12">
        <v>19596</v>
      </c>
      <c r="L41" s="12"/>
      <c r="M41" s="12"/>
      <c r="N41" s="12"/>
      <c r="O41" s="12"/>
      <c r="P41" s="13">
        <f>SUM(C41:O41)</f>
        <v>44638</v>
      </c>
      <c r="Q41" s="24"/>
      <c r="R41" s="41"/>
      <c r="S41" s="23"/>
      <c r="T41" s="45"/>
      <c r="U41" s="54"/>
      <c r="V41" s="50">
        <v>1000</v>
      </c>
    </row>
    <row r="42" spans="1:22" ht="17.25" thickBot="1">
      <c r="A42" s="5"/>
      <c r="B42" s="15" t="s">
        <v>54</v>
      </c>
      <c r="C42" s="12"/>
      <c r="D42" s="12"/>
      <c r="E42" s="12"/>
      <c r="F42" s="12"/>
      <c r="G42" s="12"/>
      <c r="H42" s="12">
        <v>217</v>
      </c>
      <c r="I42" s="12">
        <v>217</v>
      </c>
      <c r="J42" s="12">
        <v>225</v>
      </c>
      <c r="K42" s="12">
        <v>225</v>
      </c>
      <c r="L42" s="12">
        <v>225</v>
      </c>
      <c r="M42" s="12">
        <v>225</v>
      </c>
      <c r="N42" s="12">
        <v>225</v>
      </c>
      <c r="O42" s="12">
        <v>225</v>
      </c>
      <c r="P42" s="13">
        <f>SUM(H42:O42)</f>
        <v>1784</v>
      </c>
      <c r="Q42" s="24"/>
      <c r="R42" s="41"/>
      <c r="S42" s="23"/>
      <c r="T42" s="48">
        <f>SUM(T2:T41)</f>
        <v>6000</v>
      </c>
      <c r="U42" s="57"/>
      <c r="V42" s="58">
        <f>SUM(V2:V41)</f>
        <v>153000</v>
      </c>
    </row>
    <row r="43" spans="1:22" ht="16.5">
      <c r="A43" s="5"/>
      <c r="B43" s="15" t="s">
        <v>55</v>
      </c>
      <c r="C43" s="12"/>
      <c r="D43" s="12"/>
      <c r="E43" s="12"/>
      <c r="F43" s="12"/>
      <c r="G43" s="12"/>
      <c r="H43" s="12"/>
      <c r="I43" s="12"/>
      <c r="J43" s="12"/>
      <c r="K43" s="12">
        <v>18683</v>
      </c>
      <c r="L43" s="12"/>
      <c r="M43" s="12">
        <v>2814</v>
      </c>
      <c r="N43" s="12"/>
      <c r="O43" s="12"/>
      <c r="P43" s="13">
        <f>SUM(K43:O43)</f>
        <v>21497</v>
      </c>
      <c r="Q43" s="24"/>
      <c r="R43" s="41"/>
      <c r="S43" s="23"/>
      <c r="T43" s="49"/>
      <c r="U43" s="59" t="s">
        <v>60</v>
      </c>
      <c r="V43" s="60">
        <v>148000</v>
      </c>
    </row>
    <row r="44" spans="1:22" s="3" customFormat="1" ht="17.25" thickBot="1">
      <c r="B44" s="16" t="s">
        <v>49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8">
        <f>SUM(P41:P43)</f>
        <v>67919</v>
      </c>
      <c r="Q44" s="25"/>
      <c r="R44" s="40"/>
      <c r="S44" s="26"/>
      <c r="T44" s="49"/>
      <c r="U44" s="61" t="s">
        <v>62</v>
      </c>
      <c r="V44" s="62">
        <v>5000</v>
      </c>
    </row>
    <row r="45" spans="1:22" ht="16.5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2"/>
      <c r="Q45" s="20"/>
      <c r="R45" s="20"/>
      <c r="S45" s="23"/>
    </row>
    <row r="46" spans="1:22" ht="16.5"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2"/>
      <c r="Q46" s="20"/>
      <c r="R46" s="20"/>
      <c r="S46" s="23"/>
    </row>
    <row r="47" spans="1:22" s="3" customFormat="1" ht="20.25">
      <c r="B47" s="28" t="s">
        <v>53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0">
        <f>P38-P44</f>
        <v>616081</v>
      </c>
      <c r="Q47" s="31"/>
      <c r="R47" s="31"/>
      <c r="S47" s="26"/>
      <c r="T47" s="49"/>
      <c r="U47" s="49"/>
      <c r="V47" s="49"/>
    </row>
    <row r="48" spans="1:22" ht="16.5">
      <c r="O48" s="32"/>
      <c r="P48" s="77">
        <v>5000</v>
      </c>
      <c r="Q48" s="33" t="s">
        <v>59</v>
      </c>
      <c r="R48" s="33"/>
    </row>
    <row r="49" spans="14:18" ht="17.25" thickBot="1">
      <c r="O49" s="32"/>
      <c r="P49" s="77">
        <v>6000</v>
      </c>
      <c r="Q49" s="33" t="s">
        <v>64</v>
      </c>
      <c r="R49" s="33"/>
    </row>
    <row r="50" spans="14:18" ht="27" thickBot="1">
      <c r="O50" s="32" t="s">
        <v>65</v>
      </c>
      <c r="P50" s="78">
        <v>627081</v>
      </c>
      <c r="Q50" s="33"/>
      <c r="R50" s="33"/>
    </row>
    <row r="51" spans="14:18" ht="17.25" thickBot="1">
      <c r="O51" s="32"/>
      <c r="P51" s="77"/>
      <c r="Q51" s="33"/>
      <c r="R51" s="33"/>
    </row>
    <row r="52" spans="14:18" ht="17.25" thickBot="1">
      <c r="N52" s="74"/>
      <c r="O52" s="32" t="s">
        <v>67</v>
      </c>
      <c r="P52" s="79">
        <v>20000</v>
      </c>
      <c r="Q52" s="33"/>
      <c r="R52" s="33"/>
    </row>
    <row r="53" spans="14:18" ht="16.5">
      <c r="N53" s="74" t="s">
        <v>68</v>
      </c>
      <c r="O53" s="32" t="s">
        <v>69</v>
      </c>
      <c r="P53" s="77">
        <v>10000</v>
      </c>
    </row>
    <row r="54" spans="14:18" ht="16.5">
      <c r="N54" s="74"/>
      <c r="O54" s="32" t="s">
        <v>70</v>
      </c>
      <c r="P54" s="77">
        <v>6000</v>
      </c>
    </row>
    <row r="55" spans="14:18" ht="16.5">
      <c r="N55" s="74"/>
      <c r="O55" s="32" t="s">
        <v>71</v>
      </c>
      <c r="P55" s="77">
        <v>5000</v>
      </c>
    </row>
    <row r="56" spans="14:18" ht="17.25" thickBot="1">
      <c r="N56" s="74"/>
      <c r="O56" s="32" t="s">
        <v>72</v>
      </c>
      <c r="P56" s="77">
        <v>3000</v>
      </c>
    </row>
    <row r="57" spans="14:18" ht="27" thickBot="1">
      <c r="O57" s="81" t="s">
        <v>73</v>
      </c>
      <c r="P57" s="82">
        <v>4000</v>
      </c>
    </row>
  </sheetData>
  <sortState ref="B1:B36">
    <sortCondition ref="B1:B36"/>
  </sortState>
  <printOptions horizontalCentered="1"/>
  <pageMargins left="0.11811023622047245" right="0.11811023622047245" top="0.55118110236220474" bottom="0.35433070866141736" header="0.11811023622047245" footer="0.11811023622047245"/>
  <pageSetup paperSize="9" scale="62" orientation="landscape" r:id="rId1"/>
  <headerFooter>
    <oddHeader>&amp;CSZIKSZI 9.D
OSZTÁLYPÉNZ NYILVÁNTARTÁS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Füzesiné Tóth Ildikó</dc:creator>
  <cp:lastModifiedBy>Rékási László</cp:lastModifiedBy>
  <cp:lastPrinted>2025-01-24T08:33:16Z</cp:lastPrinted>
  <dcterms:created xsi:type="dcterms:W3CDTF">2024-09-25T12:09:09Z</dcterms:created>
  <dcterms:modified xsi:type="dcterms:W3CDTF">2025-09-17T09:11:40Z</dcterms:modified>
</cp:coreProperties>
</file>